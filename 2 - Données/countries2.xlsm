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erwanrahis/Documents/Cours/MS/S2/Data Storytelling/Data-storytelling/2 - Données/"/>
    </mc:Choice>
  </mc:AlternateContent>
  <xr:revisionPtr revIDLastSave="0" documentId="13_ncr:1_{34F18327-3351-3C48-B87B-8ADFC8F11032}" xr6:coauthVersionLast="45" xr6:coauthVersionMax="45" xr10:uidLastSave="{00000000-0000-0000-0000-000000000000}"/>
  <bookViews>
    <workbookView xWindow="0" yWindow="460" windowWidth="25560" windowHeight="14200" activeTab="4" xr2:uid="{00000000-000D-0000-FFFF-FFFF00000000}"/>
  </bookViews>
  <sheets>
    <sheet name="countries_stats" sheetId="1" r:id="rId1"/>
    <sheet name="countries_skintone" sheetId="5" r:id="rId2"/>
    <sheet name="latlong_countries" sheetId="6" r:id="rId3"/>
    <sheet name="Faces_URL" sheetId="2" r:id="rId4"/>
    <sheet name="Clean_Countries_DATA" sheetId="7" r:id="rId5"/>
  </sheets>
  <functionGroups builtInGroupCount="19"/>
  <definedNames>
    <definedName name="_xlnm._FilterDatabase" localSheetId="1" hidden="1">countries_skintone!$A$1:$H$263</definedName>
    <definedName name="_xlnm._FilterDatabase" localSheetId="3" hidden="1">Faces_URL!$A$1:$R$24</definedName>
  </definedNames>
  <calcPr calcId="191029"/>
  <pivotCaches>
    <pivotCache cacheId="18" r:id="rId6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20" i="1"/>
  <c r="D21" i="1"/>
  <c r="D22" i="1"/>
  <c r="D23" i="1"/>
  <c r="D24" i="1"/>
  <c r="D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20" i="1"/>
  <c r="E21" i="1"/>
  <c r="E22" i="1"/>
  <c r="E23" i="1"/>
  <c r="E24" i="1"/>
  <c r="E2" i="1"/>
  <c r="R9" i="5" a="1"/>
  <c r="R7" i="5" a="1"/>
  <c r="R6" i="5" a="1"/>
  <c r="R8" i="5" a="1"/>
  <c r="R10" i="5" a="1"/>
  <c r="R12" i="5" a="1"/>
  <c r="R14" i="5" a="1"/>
  <c r="R16" i="5" a="1"/>
  <c r="R18" i="5" a="1"/>
  <c r="R20" i="5" a="1"/>
  <c r="R22" i="5" a="1"/>
  <c r="R24" i="5" a="1"/>
  <c r="R26" i="5" a="1"/>
  <c r="R28" i="5" a="1"/>
  <c r="R11" i="5" a="1"/>
  <c r="R13" i="5" a="1"/>
  <c r="R15" i="5" a="1"/>
  <c r="R17" i="5" a="1"/>
  <c r="R19" i="5" a="1"/>
  <c r="R21" i="5" a="1"/>
  <c r="R23" i="5" a="1"/>
  <c r="R25" i="5" a="1"/>
  <c r="R27" i="5" a="1"/>
  <c r="R5" i="5" a="1"/>
  <c r="R27" i="5" l="1"/>
  <c r="R25" i="5"/>
  <c r="R23" i="5"/>
  <c r="R21" i="5"/>
  <c r="R19" i="5"/>
  <c r="R17" i="5"/>
  <c r="R15" i="5"/>
  <c r="R13" i="5"/>
  <c r="R11" i="5"/>
  <c r="R28" i="5"/>
  <c r="R26" i="5"/>
  <c r="R24" i="5"/>
  <c r="R22" i="5"/>
  <c r="R20" i="5"/>
  <c r="R18" i="5"/>
  <c r="R16" i="5"/>
  <c r="R14" i="5"/>
  <c r="R12" i="5"/>
  <c r="R10" i="5"/>
  <c r="R8" i="5"/>
  <c r="R6" i="5"/>
  <c r="R7" i="5"/>
  <c r="R9" i="5"/>
  <c r="R5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<sst xmlns="http://schemas.openxmlformats.org/spreadsheetml/2006/main" count="1990" uniqueCount="1280">
  <si>
    <t>birth_country2</t>
  </si>
  <si>
    <t>model</t>
  </si>
  <si>
    <t>percentage</t>
  </si>
  <si>
    <t>Australia</t>
  </si>
  <si>
    <t>Barbados</t>
  </si>
  <si>
    <t>Brazil</t>
  </si>
  <si>
    <t>Canada</t>
  </si>
  <si>
    <t>China</t>
  </si>
  <si>
    <t>Czech Republic</t>
  </si>
  <si>
    <t>Estonia</t>
  </si>
  <si>
    <t>Ethiopia</t>
  </si>
  <si>
    <t>France</t>
  </si>
  <si>
    <t>Hungary</t>
  </si>
  <si>
    <t>Israel</t>
  </si>
  <si>
    <t>Italy</t>
  </si>
  <si>
    <t>Lebanon</t>
  </si>
  <si>
    <t>Mexico</t>
  </si>
  <si>
    <t>Netherlands</t>
  </si>
  <si>
    <t>Poland</t>
  </si>
  <si>
    <t>Romania</t>
  </si>
  <si>
    <t>Russian Federation</t>
  </si>
  <si>
    <t>Slovenia</t>
  </si>
  <si>
    <t>South Africa</t>
  </si>
  <si>
    <t>Spain</t>
  </si>
  <si>
    <t>Sweden</t>
  </si>
  <si>
    <t>United Kingdom</t>
  </si>
  <si>
    <t>United States of America</t>
  </si>
  <si>
    <t>date</t>
  </si>
  <si>
    <t>country</t>
  </si>
  <si>
    <t>tone</t>
  </si>
  <si>
    <t>l</t>
  </si>
  <si>
    <t xml:space="preserve">tone without # </t>
  </si>
  <si>
    <t>R</t>
  </si>
  <si>
    <t>G</t>
  </si>
  <si>
    <t>B</t>
  </si>
  <si>
    <t>tone group</t>
  </si>
  <si>
    <t>data_name</t>
  </si>
  <si>
    <t>path_cover</t>
  </si>
  <si>
    <t>annee</t>
  </si>
  <si>
    <t>colors</t>
  </si>
  <si>
    <t>Cate Blanchett</t>
  </si>
  <si>
    <t>Margot Robbie</t>
  </si>
  <si>
    <t>#D29F72</t>
  </si>
  <si>
    <t>0.635947712</t>
  </si>
  <si>
    <t>D29F72</t>
  </si>
  <si>
    <t>2016: #D29F72</t>
  </si>
  <si>
    <t>Rihanna</t>
  </si>
  <si>
    <t>#F3B18D</t>
  </si>
  <si>
    <t>0.7544406</t>
  </si>
  <si>
    <t>F3B18D</t>
  </si>
  <si>
    <t>2012: #F3B18D</t>
  </si>
  <si>
    <t>Caroline Trentini</t>
  </si>
  <si>
    <t>Gisele Bundchen</t>
  </si>
  <si>
    <t>#EBCDB3</t>
  </si>
  <si>
    <t>0.813112745</t>
  </si>
  <si>
    <t>EBCDB3</t>
  </si>
  <si>
    <t>2004: #EBCDB3</t>
  </si>
  <si>
    <t>Linda Evangelista</t>
  </si>
  <si>
    <t>Rachel McAdams</t>
  </si>
  <si>
    <t>#D6BAAA</t>
  </si>
  <si>
    <t>0.754901961</t>
  </si>
  <si>
    <t>D6BAAA</t>
  </si>
  <si>
    <t>2010: #D6BAAA</t>
  </si>
  <si>
    <t>Fei Fei Sun</t>
  </si>
  <si>
    <t>Liu Wen</t>
  </si>
  <si>
    <t>#C87955</t>
  </si>
  <si>
    <t>0.560980392</t>
  </si>
  <si>
    <t>C87955</t>
  </si>
  <si>
    <t>2017: #C87955</t>
  </si>
  <si>
    <t>Karolina Kurkova</t>
  </si>
  <si>
    <t>#C79B83</t>
  </si>
  <si>
    <t>0.647511312</t>
  </si>
  <si>
    <t>C79B83</t>
  </si>
  <si>
    <t>2001: #C79B83</t>
  </si>
  <si>
    <t>Carmen Kass</t>
  </si>
  <si>
    <t>#CE9A86</t>
  </si>
  <si>
    <t>0.6678104579999999</t>
  </si>
  <si>
    <t>CE9A86</t>
  </si>
  <si>
    <t>2000: #CE9A86</t>
  </si>
  <si>
    <t>Liya Kebede</t>
  </si>
  <si>
    <t>Ruth Negga</t>
  </si>
  <si>
    <t>#B88162</t>
  </si>
  <si>
    <t>0.553594771</t>
  </si>
  <si>
    <t>B88162</t>
  </si>
  <si>
    <t>2017: #B88162</t>
  </si>
  <si>
    <t>Emma Watson</t>
  </si>
  <si>
    <t>Marion Cotillard</t>
  </si>
  <si>
    <t>#CDAC91</t>
  </si>
  <si>
    <t>0.687843137</t>
  </si>
  <si>
    <t>CDAC91</t>
  </si>
  <si>
    <t>2012: #CDAC91</t>
  </si>
  <si>
    <t>Vanessa Axente</t>
  </si>
  <si>
    <t>#DB997C</t>
  </si>
  <si>
    <t>0.674379085</t>
  </si>
  <si>
    <t>DB997C</t>
  </si>
  <si>
    <t>2014: #DB997C</t>
  </si>
  <si>
    <t>Amy Adams</t>
  </si>
  <si>
    <t>Vittoria Ceretti</t>
  </si>
  <si>
    <t>#DB8861</t>
  </si>
  <si>
    <t>0.621746881</t>
  </si>
  <si>
    <t>DB8861</t>
  </si>
  <si>
    <t>2017: #DB8861</t>
  </si>
  <si>
    <t>Natalie Portman</t>
  </si>
  <si>
    <t>#D6B39B</t>
  </si>
  <si>
    <t>0.7248934359999999</t>
  </si>
  <si>
    <t>D6B39B</t>
  </si>
  <si>
    <t>2006: #D6B39B</t>
  </si>
  <si>
    <t>Amal Clooney</t>
  </si>
  <si>
    <t>#DBAF95</t>
  </si>
  <si>
    <t>0.72373581</t>
  </si>
  <si>
    <t>DBAF95</t>
  </si>
  <si>
    <t>2018: #DBAF95</t>
  </si>
  <si>
    <t>Lupita Nyongo</t>
  </si>
  <si>
    <t>Salma Hayek</t>
  </si>
  <si>
    <t>#BB8A6F</t>
  </si>
  <si>
    <t>0.58583878</t>
  </si>
  <si>
    <t>BB8A6F</t>
  </si>
  <si>
    <t>2005: #BB8A6F</t>
  </si>
  <si>
    <t>Doutzen Kroes</t>
  </si>
  <si>
    <t>Imaan Hammam</t>
  </si>
  <si>
    <t>#B1694F</t>
  </si>
  <si>
    <t>0.503594771</t>
  </si>
  <si>
    <t>B1694F</t>
  </si>
  <si>
    <t>2014: #B1694F</t>
  </si>
  <si>
    <t>Anna Jagodzinska</t>
  </si>
  <si>
    <t>Daria Werbowy</t>
  </si>
  <si>
    <t>#ECD1BD</t>
  </si>
  <si>
    <t>0.834858388</t>
  </si>
  <si>
    <t>ECD1BD</t>
  </si>
  <si>
    <t>2004: #ECD1BD</t>
  </si>
  <si>
    <t>Joan Smalls</t>
  </si>
  <si>
    <t>Puerto Rico</t>
  </si>
  <si>
    <t>Andreea Diaconu</t>
  </si>
  <si>
    <t>#D49476</t>
  </si>
  <si>
    <t>0.649542484</t>
  </si>
  <si>
    <t>D49476</t>
  </si>
  <si>
    <t>2014: #D49476</t>
  </si>
  <si>
    <t>Sasha Pivovarova</t>
  </si>
  <si>
    <t>Melania Trump</t>
  </si>
  <si>
    <t>#DBBCA2</t>
  </si>
  <si>
    <t>0.74956427</t>
  </si>
  <si>
    <t>DBBCA2</t>
  </si>
  <si>
    <t>2005: #DBBCA2</t>
  </si>
  <si>
    <t>Charlize Theron</t>
  </si>
  <si>
    <t>#DDBEA5</t>
  </si>
  <si>
    <t>0.759728507</t>
  </si>
  <si>
    <t>DDBEA5</t>
  </si>
  <si>
    <t>2011: #DDBEA5</t>
  </si>
  <si>
    <t>Natalia Vodianova</t>
  </si>
  <si>
    <t>#F0D6C4</t>
  </si>
  <si>
    <t>0.855555556</t>
  </si>
  <si>
    <t>F0D6C4</t>
  </si>
  <si>
    <t>2004: #F0D6C4</t>
  </si>
  <si>
    <t>Penelope Cruz</t>
  </si>
  <si>
    <t>#E3AF90</t>
  </si>
  <si>
    <t>0.7291021670000001</t>
  </si>
  <si>
    <t>E3AF90</t>
  </si>
  <si>
    <t>2016: #E3AF90</t>
  </si>
  <si>
    <t>Alicia Vikander</t>
  </si>
  <si>
    <t>#EABB9A</t>
  </si>
  <si>
    <t>0.763071895</t>
  </si>
  <si>
    <t>EABB9A</t>
  </si>
  <si>
    <t>2018: #EABB9A</t>
  </si>
  <si>
    <t>Adele</t>
  </si>
  <si>
    <t>Adwoa Aboah</t>
  </si>
  <si>
    <t>Cara Delevingne</t>
  </si>
  <si>
    <t>Carey Mulligan</t>
  </si>
  <si>
    <t>Claire Foy</t>
  </si>
  <si>
    <t>Daisy Ridley</t>
  </si>
  <si>
    <t>Edie Campbell</t>
  </si>
  <si>
    <t>Emily Blunt</t>
  </si>
  <si>
    <t>Kate Moss</t>
  </si>
  <si>
    <t>Kate Winslet</t>
  </si>
  <si>
    <t>Keira Knightley</t>
  </si>
  <si>
    <t>Lily Donaldson</t>
  </si>
  <si>
    <t>Rachel Weisz</t>
  </si>
  <si>
    <t>#C8A38F</t>
  </si>
  <si>
    <t>0.6736694679999999</t>
  </si>
  <si>
    <t>C8A38F</t>
  </si>
  <si>
    <t>2008: #C8A38F</t>
  </si>
  <si>
    <t>Amanda Seyfried</t>
  </si>
  <si>
    <t>Amber Valletta</t>
  </si>
  <si>
    <t>Amy Schumer</t>
  </si>
  <si>
    <t>Angela Lindvall</t>
  </si>
  <si>
    <t>Angelina Jolie</t>
  </si>
  <si>
    <t>Anne Hathaway</t>
  </si>
  <si>
    <t>Arizona Muse</t>
  </si>
  <si>
    <t>Ashley Graham</t>
  </si>
  <si>
    <t>Ashley Judd</t>
  </si>
  <si>
    <t>Beyonce</t>
  </si>
  <si>
    <t>Blake Lively</t>
  </si>
  <si>
    <t>Bridget Hall</t>
  </si>
  <si>
    <t>Britney Spears</t>
  </si>
  <si>
    <t>Brooke Shields</t>
  </si>
  <si>
    <t>Cameron Diaz</t>
  </si>
  <si>
    <t>Carolyn Murphy</t>
  </si>
  <si>
    <t>Christy Turlington</t>
  </si>
  <si>
    <t>Claire Danes</t>
  </si>
  <si>
    <t>Dakota Johnson</t>
  </si>
  <si>
    <t>Debra Messing</t>
  </si>
  <si>
    <t>Demi Moore</t>
  </si>
  <si>
    <t>Drew Barrymore</t>
  </si>
  <si>
    <t>Elle Fanning</t>
  </si>
  <si>
    <t>Emma Stone</t>
  </si>
  <si>
    <t>Frankie Rayder</t>
  </si>
  <si>
    <t>Gigi Hadid</t>
  </si>
  <si>
    <t>Gwen Stefani</t>
  </si>
  <si>
    <t>Gwyneth Paltrow</t>
  </si>
  <si>
    <t>Halle Berry</t>
  </si>
  <si>
    <t>Hilary Rhoda</t>
  </si>
  <si>
    <t>Hope Solo</t>
  </si>
  <si>
    <t>Jennifer Aniston</t>
  </si>
  <si>
    <t>Jennifer Connelly</t>
  </si>
  <si>
    <t>Jennifer Hudson</t>
  </si>
  <si>
    <t>Jennifer Lawrence</t>
  </si>
  <si>
    <t>Jennifer Lopez</t>
  </si>
  <si>
    <t>Jessica Biel</t>
  </si>
  <si>
    <t>Jessica Chastain</t>
  </si>
  <si>
    <t>Julianne Moore</t>
  </si>
  <si>
    <t>Karlie Kloss</t>
  </si>
  <si>
    <t>Kate Bosworth</t>
  </si>
  <si>
    <t>Kate Hudson</t>
  </si>
  <si>
    <t>Kate Upton</t>
  </si>
  <si>
    <t>Katy Perry</t>
  </si>
  <si>
    <t>Kendall Jenner</t>
  </si>
  <si>
    <t>Kim Kardashian</t>
  </si>
  <si>
    <t>Kirsten Dunst</t>
  </si>
  <si>
    <t>Kristen Stewart</t>
  </si>
  <si>
    <t>Lady Gaga</t>
  </si>
  <si>
    <t>Lena Dunham</t>
  </si>
  <si>
    <t>Lisa-Marie Presley</t>
  </si>
  <si>
    <t>Madonna</t>
  </si>
  <si>
    <t>Maggie Rizer</t>
  </si>
  <si>
    <t>Marion Jones</t>
  </si>
  <si>
    <t>Meryl Streep</t>
  </si>
  <si>
    <t>Michelle Obama</t>
  </si>
  <si>
    <t>Michelle Williams</t>
  </si>
  <si>
    <t>Nicole Kidman</t>
  </si>
  <si>
    <t>Priscilla Presley</t>
  </si>
  <si>
    <t>Reese Witherspoon</t>
  </si>
  <si>
    <t>Renee Zellweger</t>
  </si>
  <si>
    <t>Riley Keough</t>
  </si>
  <si>
    <t>Rooney Mara</t>
  </si>
  <si>
    <t>Sandra Bullock</t>
  </si>
  <si>
    <t>Saoirse Ronan</t>
  </si>
  <si>
    <t>Sarah Jessica Parker</t>
  </si>
  <si>
    <t>Scarlett Johansson</t>
  </si>
  <si>
    <t>Selena Gomez</t>
  </si>
  <si>
    <t>Serena Williams</t>
  </si>
  <si>
    <t>Sienna Miller</t>
  </si>
  <si>
    <t>Taylor Swift</t>
  </si>
  <si>
    <t>Tina Fey</t>
  </si>
  <si>
    <t>Uma Thurman</t>
  </si>
  <si>
    <t>Winona Ryder</t>
  </si>
  <si>
    <t>Zendaya</t>
  </si>
  <si>
    <t>#C6876A</t>
  </si>
  <si>
    <t>0.598039216</t>
  </si>
  <si>
    <t>C6876A</t>
  </si>
  <si>
    <t>2017: #C6876A</t>
  </si>
  <si>
    <t>Catherine Zeta-Jones</t>
  </si>
  <si>
    <t>Row Labels</t>
  </si>
  <si>
    <t>Grand Total</t>
  </si>
  <si>
    <t>20040901_0</t>
  </si>
  <si>
    <t>20040901_1</t>
  </si>
  <si>
    <t>20040901_2</t>
  </si>
  <si>
    <t>20140901_1</t>
  </si>
  <si>
    <t>20140901_0</t>
  </si>
  <si>
    <t>20140901_2</t>
  </si>
  <si>
    <t>20170301_0</t>
  </si>
  <si>
    <t>20170301_2</t>
  </si>
  <si>
    <t>https://raw.githubusercontent.com/amalenkr/Data-storytelling/main/2%20-%20Données/faces/20160601.jpg</t>
  </si>
  <si>
    <t>https://raw.githubusercontent.com/amalenkr/Data-storytelling/main/2%20-%20Données/faces/20121101.jpg</t>
  </si>
  <si>
    <t>https://raw.githubusercontent.com/amalenkr/Data-storytelling/main/2%20-%20Données/faces/20040901_1.jpg</t>
  </si>
  <si>
    <t>https://raw.githubusercontent.com/amalenkr/Data-storytelling/main/2%20-%20Données/faces/20100101.jpg</t>
  </si>
  <si>
    <t>https://raw.githubusercontent.com/amalenkr/Data-storytelling/main/2%20-%20Données/faces/20170301_0.jpg</t>
  </si>
  <si>
    <t>https://raw.githubusercontent.com/amalenkr/Data-storytelling/main/2%20-%20Données/faces/20010201.jpg</t>
  </si>
  <si>
    <t>https://raw.githubusercontent.com/amalenkr/Data-storytelling/main/2%20-%20Données/faces/20000101.jpg</t>
  </si>
  <si>
    <t>https://raw.githubusercontent.com/amalenkr/Data-storytelling/main/2%20-%20Données/faces/20170101.jpg</t>
  </si>
  <si>
    <t>https://raw.githubusercontent.com/amalenkr/Data-storytelling/main/2%20-%20Données/faces/20120801.jpg</t>
  </si>
  <si>
    <t>https://raw.githubusercontent.com/amalenkr/Data-storytelling/main/2%20-%20Données/faces/20140901_2.jpg</t>
  </si>
  <si>
    <t>https://raw.githubusercontent.com/amalenkr/Data-storytelling/main/2%20-%20Données/faces/20060301.jpg</t>
  </si>
  <si>
    <t>https://raw.githubusercontent.com/amalenkr/Data-storytelling/main/2%20-%20Données/faces/20170301_2.jpg</t>
  </si>
  <si>
    <t>https://raw.githubusercontent.com/amalenkr/Data-storytelling/main/2%20-%20Données/faces/20180501.jpg</t>
  </si>
  <si>
    <t>https://raw.githubusercontent.com/amalenkr/Data-storytelling/main/2%20-%20Données/faces/20050601.jpg</t>
  </si>
  <si>
    <t>https://raw.githubusercontent.com/amalenkr/Data-storytelling/main/2%20-%20Données/faces/20140901_0.jpg</t>
  </si>
  <si>
    <t>https://raw.githubusercontent.com/amalenkr/Data-storytelling/main/2%20-%20Données/faces/20040901_0.jpg</t>
  </si>
  <si>
    <t>https://raw.githubusercontent.com/amalenkr/Data-storytelling/main/2%20-%20Données/faces/20140901_1.jpg</t>
  </si>
  <si>
    <t>https://raw.githubusercontent.com/amalenkr/Data-storytelling/main/2%20-%20Données/faces/20040901_2.jpg</t>
  </si>
  <si>
    <t>https://raw.githubusercontent.com/amalenkr/Data-storytelling/main/2%20-%20Données/faces/20050201.jpg</t>
  </si>
  <si>
    <t>https://raw.githubusercontent.com/amalenkr/Data-storytelling/main/2%20-%20Données/faces/20111201.jpg</t>
  </si>
  <si>
    <t>https://raw.githubusercontent.com/amalenkr/Data-storytelling/main/2%20-%20Données/faces/20160201.jpg</t>
  </si>
  <si>
    <t>https://raw.githubusercontent.com/amalenkr/Data-storytelling/main/2%20-%20Données/faces/20180301.jpg</t>
  </si>
  <si>
    <t>https://raw.githubusercontent.com/amalenkr/Data-storytelling/main/2%20-%20Données/faces/20081001.jpg</t>
  </si>
  <si>
    <t>https://raw.githubusercontent.com/amalenkr/Data-storytelling/main/2%20-%20Données/faces/20170701.jpg</t>
  </si>
  <si>
    <t>Average of B</t>
  </si>
  <si>
    <t>Average of G</t>
  </si>
  <si>
    <t>Average of R</t>
  </si>
  <si>
    <t>latitude</t>
  </si>
  <si>
    <t>longitude</t>
  </si>
  <si>
    <t>name</t>
  </si>
  <si>
    <t>AD</t>
  </si>
  <si>
    <t>42.546245</t>
  </si>
  <si>
    <t>1.601554</t>
  </si>
  <si>
    <t>Andorra</t>
  </si>
  <si>
    <t>AE</t>
  </si>
  <si>
    <t>23.424076</t>
  </si>
  <si>
    <t>53.847818</t>
  </si>
  <si>
    <t>United Arab Emirates</t>
  </si>
  <si>
    <t>AF</t>
  </si>
  <si>
    <t>33.93911</t>
  </si>
  <si>
    <t>67.709953</t>
  </si>
  <si>
    <t>Afghanistan</t>
  </si>
  <si>
    <t>AG</t>
  </si>
  <si>
    <t>17.060816</t>
  </si>
  <si>
    <t>-61.796428</t>
  </si>
  <si>
    <t>Antigua and Barbuda</t>
  </si>
  <si>
    <t>AI</t>
  </si>
  <si>
    <t>18.220554</t>
  </si>
  <si>
    <t>-63.068615</t>
  </si>
  <si>
    <t>Anguilla</t>
  </si>
  <si>
    <t>AL</t>
  </si>
  <si>
    <t>41.153332</t>
  </si>
  <si>
    <t>20.168331</t>
  </si>
  <si>
    <t>Albania</t>
  </si>
  <si>
    <t>AM</t>
  </si>
  <si>
    <t>40.069099</t>
  </si>
  <si>
    <t>45.038189</t>
  </si>
  <si>
    <t>Armenia</t>
  </si>
  <si>
    <t>AN</t>
  </si>
  <si>
    <t>12.226079</t>
  </si>
  <si>
    <t>-69.060087</t>
  </si>
  <si>
    <t>Netherlands Antilles</t>
  </si>
  <si>
    <t>AO</t>
  </si>
  <si>
    <t>-11.202692</t>
  </si>
  <si>
    <t>17.873887</t>
  </si>
  <si>
    <t>Angola</t>
  </si>
  <si>
    <t>AQ</t>
  </si>
  <si>
    <t>-75.250973</t>
  </si>
  <si>
    <t>-0.071389</t>
  </si>
  <si>
    <t>Antarctica</t>
  </si>
  <si>
    <t>AR</t>
  </si>
  <si>
    <t>-38.416097</t>
  </si>
  <si>
    <t>-63.616672</t>
  </si>
  <si>
    <t>Argentina</t>
  </si>
  <si>
    <t>AS</t>
  </si>
  <si>
    <t>-14.270972</t>
  </si>
  <si>
    <t>-170.132217</t>
  </si>
  <si>
    <t>American Samoa</t>
  </si>
  <si>
    <t>AT</t>
  </si>
  <si>
    <t>47.516231</t>
  </si>
  <si>
    <t>14.550072</t>
  </si>
  <si>
    <t>Austria</t>
  </si>
  <si>
    <t>AU</t>
  </si>
  <si>
    <t>-25.274398</t>
  </si>
  <si>
    <t>133.775136</t>
  </si>
  <si>
    <t>AW</t>
  </si>
  <si>
    <t>12.52111</t>
  </si>
  <si>
    <t>-69.968338</t>
  </si>
  <si>
    <t>Aruba</t>
  </si>
  <si>
    <t>AZ</t>
  </si>
  <si>
    <t>40.143105</t>
  </si>
  <si>
    <t>47.576927</t>
  </si>
  <si>
    <t>Azerbaijan</t>
  </si>
  <si>
    <t>BA</t>
  </si>
  <si>
    <t>43.915886</t>
  </si>
  <si>
    <t>17.679076</t>
  </si>
  <si>
    <t>Bosnia and Herzegovina</t>
  </si>
  <si>
    <t>BB</t>
  </si>
  <si>
    <t>13.193887</t>
  </si>
  <si>
    <t>-59.543198</t>
  </si>
  <si>
    <t>BD</t>
  </si>
  <si>
    <t>23.684994</t>
  </si>
  <si>
    <t>90.356331</t>
  </si>
  <si>
    <t>Bangladesh</t>
  </si>
  <si>
    <t>BE</t>
  </si>
  <si>
    <t>50.503887</t>
  </si>
  <si>
    <t>4.469936</t>
  </si>
  <si>
    <t>Belgium</t>
  </si>
  <si>
    <t>BF</t>
  </si>
  <si>
    <t>12.238333</t>
  </si>
  <si>
    <t>-1.561593</t>
  </si>
  <si>
    <t>Burkina Faso</t>
  </si>
  <si>
    <t>BG</t>
  </si>
  <si>
    <t>42.733883</t>
  </si>
  <si>
    <t>25.48583</t>
  </si>
  <si>
    <t>Bulgaria</t>
  </si>
  <si>
    <t>BH</t>
  </si>
  <si>
    <t>25.930414</t>
  </si>
  <si>
    <t>50.637772</t>
  </si>
  <si>
    <t>Bahrain</t>
  </si>
  <si>
    <t>BI</t>
  </si>
  <si>
    <t>-3.373056</t>
  </si>
  <si>
    <t>29.918886</t>
  </si>
  <si>
    <t>Burundi</t>
  </si>
  <si>
    <t>BJ</t>
  </si>
  <si>
    <t>9.30769</t>
  </si>
  <si>
    <t>2.315834</t>
  </si>
  <si>
    <t>Benin</t>
  </si>
  <si>
    <t>BM</t>
  </si>
  <si>
    <t>32.321384</t>
  </si>
  <si>
    <t>-64.75737</t>
  </si>
  <si>
    <t>Bermuda</t>
  </si>
  <si>
    <t>BN</t>
  </si>
  <si>
    <t>4.535277</t>
  </si>
  <si>
    <t>114.727669</t>
  </si>
  <si>
    <t>Brunei</t>
  </si>
  <si>
    <t>BO</t>
  </si>
  <si>
    <t>-16.290154</t>
  </si>
  <si>
    <t>-63.588653</t>
  </si>
  <si>
    <t>Bolivia</t>
  </si>
  <si>
    <t>BR</t>
  </si>
  <si>
    <t>-14.235004</t>
  </si>
  <si>
    <t>-51.92528</t>
  </si>
  <si>
    <t>BS</t>
  </si>
  <si>
    <t>25.03428</t>
  </si>
  <si>
    <t>-77.39628</t>
  </si>
  <si>
    <t>Bahamas</t>
  </si>
  <si>
    <t>BT</t>
  </si>
  <si>
    <t>27.514162</t>
  </si>
  <si>
    <t>90.433601</t>
  </si>
  <si>
    <t>Bhutan</t>
  </si>
  <si>
    <t>BV</t>
  </si>
  <si>
    <t>-54.423199</t>
  </si>
  <si>
    <t>3.413194</t>
  </si>
  <si>
    <t>Bouvet Island</t>
  </si>
  <si>
    <t>BW</t>
  </si>
  <si>
    <t>-22.328474</t>
  </si>
  <si>
    <t>24.684866</t>
  </si>
  <si>
    <t>Botswana</t>
  </si>
  <si>
    <t>BY</t>
  </si>
  <si>
    <t>53.709807</t>
  </si>
  <si>
    <t>27.953389</t>
  </si>
  <si>
    <t>Belarus</t>
  </si>
  <si>
    <t>BZ</t>
  </si>
  <si>
    <t>17.189877</t>
  </si>
  <si>
    <t>-88.49765</t>
  </si>
  <si>
    <t>Belize</t>
  </si>
  <si>
    <t>CA</t>
  </si>
  <si>
    <t>56.130366</t>
  </si>
  <si>
    <t>-106.346771</t>
  </si>
  <si>
    <t>CC</t>
  </si>
  <si>
    <t>-12.164165</t>
  </si>
  <si>
    <t>96.870956</t>
  </si>
  <si>
    <t>Cocos [Keeling] Islands</t>
  </si>
  <si>
    <t>CD</t>
  </si>
  <si>
    <t>-4.038333</t>
  </si>
  <si>
    <t>21.758664</t>
  </si>
  <si>
    <t>Congo [DRC]</t>
  </si>
  <si>
    <t>CF</t>
  </si>
  <si>
    <t>6.611111</t>
  </si>
  <si>
    <t>20.939444</t>
  </si>
  <si>
    <t>Central African Republic</t>
  </si>
  <si>
    <t>CG</t>
  </si>
  <si>
    <t>-0.228021</t>
  </si>
  <si>
    <t>15.827659</t>
  </si>
  <si>
    <t>Congo [Republic]</t>
  </si>
  <si>
    <t>CH</t>
  </si>
  <si>
    <t>46.818188</t>
  </si>
  <si>
    <t>8.227512</t>
  </si>
  <si>
    <t>Switzerland</t>
  </si>
  <si>
    <t>CI</t>
  </si>
  <si>
    <t>7.539989</t>
  </si>
  <si>
    <t>-5.54708</t>
  </si>
  <si>
    <t>Côte d'Ivoire</t>
  </si>
  <si>
    <t>CK</t>
  </si>
  <si>
    <t>-21.236736</t>
  </si>
  <si>
    <t>-159.777671</t>
  </si>
  <si>
    <t>Cook Islands</t>
  </si>
  <si>
    <t>CL</t>
  </si>
  <si>
    <t>-35.675147</t>
  </si>
  <si>
    <t>-71.542969</t>
  </si>
  <si>
    <t>Chile</t>
  </si>
  <si>
    <t>CM</t>
  </si>
  <si>
    <t>7.369722</t>
  </si>
  <si>
    <t>12.354722</t>
  </si>
  <si>
    <t>Cameroon</t>
  </si>
  <si>
    <t>CN</t>
  </si>
  <si>
    <t>35.86166</t>
  </si>
  <si>
    <t>104.195397</t>
  </si>
  <si>
    <t>CO</t>
  </si>
  <si>
    <t>4.570868</t>
  </si>
  <si>
    <t>-74.297333</t>
  </si>
  <si>
    <t>Colombia</t>
  </si>
  <si>
    <t>CR</t>
  </si>
  <si>
    <t>9.748917</t>
  </si>
  <si>
    <t>-83.753428</t>
  </si>
  <si>
    <t>Costa Rica</t>
  </si>
  <si>
    <t>CU</t>
  </si>
  <si>
    <t>21.521757</t>
  </si>
  <si>
    <t>-77.781167</t>
  </si>
  <si>
    <t>Cuba</t>
  </si>
  <si>
    <t>CV</t>
  </si>
  <si>
    <t>16.002082</t>
  </si>
  <si>
    <t>-24.013197</t>
  </si>
  <si>
    <t>Cape Verde</t>
  </si>
  <si>
    <t>CX</t>
  </si>
  <si>
    <t>-10.447525</t>
  </si>
  <si>
    <t>105.690449</t>
  </si>
  <si>
    <t>Christmas Island</t>
  </si>
  <si>
    <t>CY</t>
  </si>
  <si>
    <t>35.126413</t>
  </si>
  <si>
    <t>33.429859</t>
  </si>
  <si>
    <t>Cyprus</t>
  </si>
  <si>
    <t>CZ</t>
  </si>
  <si>
    <t>49.817492</t>
  </si>
  <si>
    <t>15.472962</t>
  </si>
  <si>
    <t>DE</t>
  </si>
  <si>
    <t>51.165691</t>
  </si>
  <si>
    <t>10.451526</t>
  </si>
  <si>
    <t>Germany</t>
  </si>
  <si>
    <t>DJ</t>
  </si>
  <si>
    <t>11.825138</t>
  </si>
  <si>
    <t>42.590275</t>
  </si>
  <si>
    <t>Djibouti</t>
  </si>
  <si>
    <t>DK</t>
  </si>
  <si>
    <t>56.26392</t>
  </si>
  <si>
    <t>9.501785</t>
  </si>
  <si>
    <t>Denmark</t>
  </si>
  <si>
    <t>DM</t>
  </si>
  <si>
    <t>15.414999</t>
  </si>
  <si>
    <t>-61.370976</t>
  </si>
  <si>
    <t>Dominica</t>
  </si>
  <si>
    <t>DO</t>
  </si>
  <si>
    <t>18.735693</t>
  </si>
  <si>
    <t>-70.162651</t>
  </si>
  <si>
    <t>Dominican Republic</t>
  </si>
  <si>
    <t>DZ</t>
  </si>
  <si>
    <t>28.033886</t>
  </si>
  <si>
    <t>1.659626</t>
  </si>
  <si>
    <t>Algeria</t>
  </si>
  <si>
    <t>EC</t>
  </si>
  <si>
    <t>-1.831239</t>
  </si>
  <si>
    <t>-78.183406</t>
  </si>
  <si>
    <t>Ecuador</t>
  </si>
  <si>
    <t>EE</t>
  </si>
  <si>
    <t>58.595272</t>
  </si>
  <si>
    <t>25.013607</t>
  </si>
  <si>
    <t>EG</t>
  </si>
  <si>
    <t>26.820553</t>
  </si>
  <si>
    <t>30.802498</t>
  </si>
  <si>
    <t>Egypt</t>
  </si>
  <si>
    <t>EH</t>
  </si>
  <si>
    <t>24.215527</t>
  </si>
  <si>
    <t>-12.885834</t>
  </si>
  <si>
    <t>Western Sahara</t>
  </si>
  <si>
    <t>ER</t>
  </si>
  <si>
    <t>15.179384</t>
  </si>
  <si>
    <t>39.782334</t>
  </si>
  <si>
    <t>Eritrea</t>
  </si>
  <si>
    <t>ES</t>
  </si>
  <si>
    <t>40.463667</t>
  </si>
  <si>
    <t>-3.74922</t>
  </si>
  <si>
    <t>ET</t>
  </si>
  <si>
    <t>9.145</t>
  </si>
  <si>
    <t>40.489673</t>
  </si>
  <si>
    <t>FI</t>
  </si>
  <si>
    <t>61.92411</t>
  </si>
  <si>
    <t>25.748151</t>
  </si>
  <si>
    <t>Finland</t>
  </si>
  <si>
    <t>FJ</t>
  </si>
  <si>
    <t>-16.578193</t>
  </si>
  <si>
    <t>179.414413</t>
  </si>
  <si>
    <t>Fiji</t>
  </si>
  <si>
    <t>FK</t>
  </si>
  <si>
    <t>-51.796253</t>
  </si>
  <si>
    <t>-59.523613</t>
  </si>
  <si>
    <t>Falkland Islands [Islas Malvinas]</t>
  </si>
  <si>
    <t>FM</t>
  </si>
  <si>
    <t>7.425554</t>
  </si>
  <si>
    <t>150.550812</t>
  </si>
  <si>
    <t>Micronesia</t>
  </si>
  <si>
    <t>FO</t>
  </si>
  <si>
    <t>61.892635</t>
  </si>
  <si>
    <t>-6.911806</t>
  </si>
  <si>
    <t>Faroe Islands</t>
  </si>
  <si>
    <t>FR</t>
  </si>
  <si>
    <t>46.227638</t>
  </si>
  <si>
    <t>2.213749</t>
  </si>
  <si>
    <t>GA</t>
  </si>
  <si>
    <t>-0.803689</t>
  </si>
  <si>
    <t>11.609444</t>
  </si>
  <si>
    <t>Gabon</t>
  </si>
  <si>
    <t>GB</t>
  </si>
  <si>
    <t>55.378051</t>
  </si>
  <si>
    <t>-3.435973</t>
  </si>
  <si>
    <t>GD</t>
  </si>
  <si>
    <t>12.262776</t>
  </si>
  <si>
    <t>-61.604171</t>
  </si>
  <si>
    <t>Grenada</t>
  </si>
  <si>
    <t>GE</t>
  </si>
  <si>
    <t>42.315407</t>
  </si>
  <si>
    <t>43.356892</t>
  </si>
  <si>
    <t>Georgia</t>
  </si>
  <si>
    <t>GF</t>
  </si>
  <si>
    <t>3.933889</t>
  </si>
  <si>
    <t>-53.125782</t>
  </si>
  <si>
    <t>French Guiana</t>
  </si>
  <si>
    <t>GG</t>
  </si>
  <si>
    <t>49.465691</t>
  </si>
  <si>
    <t>-2.585278</t>
  </si>
  <si>
    <t>Guernsey</t>
  </si>
  <si>
    <t>GH</t>
  </si>
  <si>
    <t>7.946527</t>
  </si>
  <si>
    <t>-1.023194</t>
  </si>
  <si>
    <t>Ghana</t>
  </si>
  <si>
    <t>GI</t>
  </si>
  <si>
    <t>36.137741</t>
  </si>
  <si>
    <t>-5.345374</t>
  </si>
  <si>
    <t>Gibraltar</t>
  </si>
  <si>
    <t>GL</t>
  </si>
  <si>
    <t>71.706936</t>
  </si>
  <si>
    <t>-42.604303</t>
  </si>
  <si>
    <t>Greenland</t>
  </si>
  <si>
    <t>GM</t>
  </si>
  <si>
    <t>13.443182</t>
  </si>
  <si>
    <t>-15.310139</t>
  </si>
  <si>
    <t>Gambia</t>
  </si>
  <si>
    <t>GN</t>
  </si>
  <si>
    <t>9.945587</t>
  </si>
  <si>
    <t>-9.696645</t>
  </si>
  <si>
    <t>Guinea</t>
  </si>
  <si>
    <t>GP</t>
  </si>
  <si>
    <t>16.995971</t>
  </si>
  <si>
    <t>-62.067641</t>
  </si>
  <si>
    <t>Guadeloupe</t>
  </si>
  <si>
    <t>GQ</t>
  </si>
  <si>
    <t>1.650801</t>
  </si>
  <si>
    <t>10.267895</t>
  </si>
  <si>
    <t>Equatorial Guinea</t>
  </si>
  <si>
    <t>GR</t>
  </si>
  <si>
    <t>39.074208</t>
  </si>
  <si>
    <t>21.824312</t>
  </si>
  <si>
    <t>Greece</t>
  </si>
  <si>
    <t>GS</t>
  </si>
  <si>
    <t>-54.429579</t>
  </si>
  <si>
    <t>-36.587909</t>
  </si>
  <si>
    <t>South Georgia and the South Sandwich Islands</t>
  </si>
  <si>
    <t>GT</t>
  </si>
  <si>
    <t>15.783471</t>
  </si>
  <si>
    <t>-90.230759</t>
  </si>
  <si>
    <t>Guatemala</t>
  </si>
  <si>
    <t>GU</t>
  </si>
  <si>
    <t>13.444304</t>
  </si>
  <si>
    <t>144.793731</t>
  </si>
  <si>
    <t>Guam</t>
  </si>
  <si>
    <t>GW</t>
  </si>
  <si>
    <t>11.803749</t>
  </si>
  <si>
    <t>-15.180413</t>
  </si>
  <si>
    <t>Guinea-Bissau</t>
  </si>
  <si>
    <t>GY</t>
  </si>
  <si>
    <t>4.860416</t>
  </si>
  <si>
    <t>-58.93018</t>
  </si>
  <si>
    <t>Guyana</t>
  </si>
  <si>
    <t>GZ</t>
  </si>
  <si>
    <t>31.354676</t>
  </si>
  <si>
    <t>34.308825</t>
  </si>
  <si>
    <t>Gaza Strip</t>
  </si>
  <si>
    <t>HK</t>
  </si>
  <si>
    <t>22.396428</t>
  </si>
  <si>
    <t>114.109497</t>
  </si>
  <si>
    <t>Hong Kong</t>
  </si>
  <si>
    <t>HM</t>
  </si>
  <si>
    <t>-53.08181</t>
  </si>
  <si>
    <t>73.504158</t>
  </si>
  <si>
    <t>Heard Island and McDonald Islands</t>
  </si>
  <si>
    <t>HN</t>
  </si>
  <si>
    <t>15.199999</t>
  </si>
  <si>
    <t>-86.241905</t>
  </si>
  <si>
    <t>Honduras</t>
  </si>
  <si>
    <t>HR</t>
  </si>
  <si>
    <t>45.1</t>
  </si>
  <si>
    <t>15.2</t>
  </si>
  <si>
    <t>Croatia</t>
  </si>
  <si>
    <t>HT</t>
  </si>
  <si>
    <t>18.971187</t>
  </si>
  <si>
    <t>-72.285215</t>
  </si>
  <si>
    <t>Haiti</t>
  </si>
  <si>
    <t>HU</t>
  </si>
  <si>
    <t>47.162494</t>
  </si>
  <si>
    <t>19.503304</t>
  </si>
  <si>
    <t>ID</t>
  </si>
  <si>
    <t>-0.789275</t>
  </si>
  <si>
    <t>113.921327</t>
  </si>
  <si>
    <t>Indonesia</t>
  </si>
  <si>
    <t>IE</t>
  </si>
  <si>
    <t>53.41291</t>
  </si>
  <si>
    <t>-8.24389</t>
  </si>
  <si>
    <t>Ireland</t>
  </si>
  <si>
    <t>IL</t>
  </si>
  <si>
    <t>31.046051</t>
  </si>
  <si>
    <t>34.851612</t>
  </si>
  <si>
    <t>IM</t>
  </si>
  <si>
    <t>54.236107</t>
  </si>
  <si>
    <t>-4.548056</t>
  </si>
  <si>
    <t>Isle of Man</t>
  </si>
  <si>
    <t>IN</t>
  </si>
  <si>
    <t>20.593684</t>
  </si>
  <si>
    <t>78.96288</t>
  </si>
  <si>
    <t>India</t>
  </si>
  <si>
    <t>IO</t>
  </si>
  <si>
    <t>-6.343194</t>
  </si>
  <si>
    <t>71.876519</t>
  </si>
  <si>
    <t>British Indian Ocean Territory</t>
  </si>
  <si>
    <t>IQ</t>
  </si>
  <si>
    <t>33.223191</t>
  </si>
  <si>
    <t>43.679291</t>
  </si>
  <si>
    <t>Iraq</t>
  </si>
  <si>
    <t>IR</t>
  </si>
  <si>
    <t>32.427908</t>
  </si>
  <si>
    <t>53.688046</t>
  </si>
  <si>
    <t>Iran</t>
  </si>
  <si>
    <t>IS</t>
  </si>
  <si>
    <t>64.963051</t>
  </si>
  <si>
    <t>-19.020835</t>
  </si>
  <si>
    <t>Iceland</t>
  </si>
  <si>
    <t>IT</t>
  </si>
  <si>
    <t>41.87194</t>
  </si>
  <si>
    <t>12.56738</t>
  </si>
  <si>
    <t>JE</t>
  </si>
  <si>
    <t>49.214439</t>
  </si>
  <si>
    <t>-2.13125</t>
  </si>
  <si>
    <t>Jersey</t>
  </si>
  <si>
    <t>JM</t>
  </si>
  <si>
    <t>18.109581</t>
  </si>
  <si>
    <t>-77.297508</t>
  </si>
  <si>
    <t>Jamaica</t>
  </si>
  <si>
    <t>JO</t>
  </si>
  <si>
    <t>30.585164</t>
  </si>
  <si>
    <t>36.238414</t>
  </si>
  <si>
    <t>Jordan</t>
  </si>
  <si>
    <t>JP</t>
  </si>
  <si>
    <t>36.204824</t>
  </si>
  <si>
    <t>138.252924</t>
  </si>
  <si>
    <t>Japan</t>
  </si>
  <si>
    <t>KE</t>
  </si>
  <si>
    <t>-0.023559</t>
  </si>
  <si>
    <t>37.906193</t>
  </si>
  <si>
    <t>Kenya</t>
  </si>
  <si>
    <t>KG</t>
  </si>
  <si>
    <t>41.20438</t>
  </si>
  <si>
    <t>74.766098</t>
  </si>
  <si>
    <t>Kyrgyzstan</t>
  </si>
  <si>
    <t>KH</t>
  </si>
  <si>
    <t>12.565679</t>
  </si>
  <si>
    <t>104.990963</t>
  </si>
  <si>
    <t>Cambodia</t>
  </si>
  <si>
    <t>KI</t>
  </si>
  <si>
    <t>-3.370417</t>
  </si>
  <si>
    <t>-168.734039</t>
  </si>
  <si>
    <t>Kiribati</t>
  </si>
  <si>
    <t>KM</t>
  </si>
  <si>
    <t>-11.875001</t>
  </si>
  <si>
    <t>43.872219</t>
  </si>
  <si>
    <t>Comoros</t>
  </si>
  <si>
    <t>KN</t>
  </si>
  <si>
    <t>17.357822</t>
  </si>
  <si>
    <t>-62.782998</t>
  </si>
  <si>
    <t>Saint Kitts and Nevis</t>
  </si>
  <si>
    <t>KP</t>
  </si>
  <si>
    <t>40.339852</t>
  </si>
  <si>
    <t>127.510093</t>
  </si>
  <si>
    <t>North Korea</t>
  </si>
  <si>
    <t>KR</t>
  </si>
  <si>
    <t>35.907757</t>
  </si>
  <si>
    <t>127.766922</t>
  </si>
  <si>
    <t>South Korea</t>
  </si>
  <si>
    <t>KW</t>
  </si>
  <si>
    <t>29.31166</t>
  </si>
  <si>
    <t>47.481766</t>
  </si>
  <si>
    <t>Kuwait</t>
  </si>
  <si>
    <t>KY</t>
  </si>
  <si>
    <t>19.513469</t>
  </si>
  <si>
    <t>-80.566956</t>
  </si>
  <si>
    <t>Cayman Islands</t>
  </si>
  <si>
    <t>KZ</t>
  </si>
  <si>
    <t>48.019573</t>
  </si>
  <si>
    <t>66.923684</t>
  </si>
  <si>
    <t>Kazakhstan</t>
  </si>
  <si>
    <t>LA</t>
  </si>
  <si>
    <t>19.85627</t>
  </si>
  <si>
    <t>102.495496</t>
  </si>
  <si>
    <t>Laos</t>
  </si>
  <si>
    <t>LB</t>
  </si>
  <si>
    <t>33.854721</t>
  </si>
  <si>
    <t>35.862285</t>
  </si>
  <si>
    <t>LC</t>
  </si>
  <si>
    <t>13.909444</t>
  </si>
  <si>
    <t>-60.978893</t>
  </si>
  <si>
    <t>Saint Lucia</t>
  </si>
  <si>
    <t>LI</t>
  </si>
  <si>
    <t>47.166</t>
  </si>
  <si>
    <t>9.555373</t>
  </si>
  <si>
    <t>Liechtenstein</t>
  </si>
  <si>
    <t>LK</t>
  </si>
  <si>
    <t>7.873054</t>
  </si>
  <si>
    <t>80.771797</t>
  </si>
  <si>
    <t>Sri Lanka</t>
  </si>
  <si>
    <t>LR</t>
  </si>
  <si>
    <t>6.428055</t>
  </si>
  <si>
    <t>-9.429499</t>
  </si>
  <si>
    <t>Liberia</t>
  </si>
  <si>
    <t>LS</t>
  </si>
  <si>
    <t>-29.609988</t>
  </si>
  <si>
    <t>28.233608</t>
  </si>
  <si>
    <t>Lesotho</t>
  </si>
  <si>
    <t>LT</t>
  </si>
  <si>
    <t>55.169438</t>
  </si>
  <si>
    <t>23.881275</t>
  </si>
  <si>
    <t>Lithuania</t>
  </si>
  <si>
    <t>LU</t>
  </si>
  <si>
    <t>49.815273</t>
  </si>
  <si>
    <t>6.129583</t>
  </si>
  <si>
    <t>Luxembourg</t>
  </si>
  <si>
    <t>LV</t>
  </si>
  <si>
    <t>56.879635</t>
  </si>
  <si>
    <t>24.603189</t>
  </si>
  <si>
    <t>Latvia</t>
  </si>
  <si>
    <t>LY</t>
  </si>
  <si>
    <t>26.3351</t>
  </si>
  <si>
    <t>17.228331</t>
  </si>
  <si>
    <t>Libya</t>
  </si>
  <si>
    <t>MA</t>
  </si>
  <si>
    <t>31.791702</t>
  </si>
  <si>
    <t>-7.09262</t>
  </si>
  <si>
    <t>Morocco</t>
  </si>
  <si>
    <t>MC</t>
  </si>
  <si>
    <t>43.750298</t>
  </si>
  <si>
    <t>7.412841</t>
  </si>
  <si>
    <t>Monaco</t>
  </si>
  <si>
    <t>MD</t>
  </si>
  <si>
    <t>47.411631</t>
  </si>
  <si>
    <t>28.369885</t>
  </si>
  <si>
    <t>Moldova</t>
  </si>
  <si>
    <t>ME</t>
  </si>
  <si>
    <t>42.708678</t>
  </si>
  <si>
    <t>19.37439</t>
  </si>
  <si>
    <t>Montenegro</t>
  </si>
  <si>
    <t>MG</t>
  </si>
  <si>
    <t>-18.766947</t>
  </si>
  <si>
    <t>46.869107</t>
  </si>
  <si>
    <t>Madagascar</t>
  </si>
  <si>
    <t>MH</t>
  </si>
  <si>
    <t>7.131474</t>
  </si>
  <si>
    <t>171.184478</t>
  </si>
  <si>
    <t>Marshall Islands</t>
  </si>
  <si>
    <t>MK</t>
  </si>
  <si>
    <t>41.608635</t>
  </si>
  <si>
    <t>21.745275</t>
  </si>
  <si>
    <t>Macedonia [FYROM]</t>
  </si>
  <si>
    <t>ML</t>
  </si>
  <si>
    <t>17.570692</t>
  </si>
  <si>
    <t>-3.996166</t>
  </si>
  <si>
    <t>Mali</t>
  </si>
  <si>
    <t>MM</t>
  </si>
  <si>
    <t>21.913965</t>
  </si>
  <si>
    <t>95.956223</t>
  </si>
  <si>
    <t>Myanmar [Burma]</t>
  </si>
  <si>
    <t>MN</t>
  </si>
  <si>
    <t>46.862496</t>
  </si>
  <si>
    <t>103.846656</t>
  </si>
  <si>
    <t>Mongolia</t>
  </si>
  <si>
    <t>MO</t>
  </si>
  <si>
    <t>22.198745</t>
  </si>
  <si>
    <t>113.543873</t>
  </si>
  <si>
    <t>Macau</t>
  </si>
  <si>
    <t>MP</t>
  </si>
  <si>
    <t>17.33083</t>
  </si>
  <si>
    <t>145.38469</t>
  </si>
  <si>
    <t>Northern Mariana Islands</t>
  </si>
  <si>
    <t>MQ</t>
  </si>
  <si>
    <t>14.641528</t>
  </si>
  <si>
    <t>-61.024174</t>
  </si>
  <si>
    <t>Martinique</t>
  </si>
  <si>
    <t>MR</t>
  </si>
  <si>
    <t>21.00789</t>
  </si>
  <si>
    <t>-10.940835</t>
  </si>
  <si>
    <t>Mauritania</t>
  </si>
  <si>
    <t>MS</t>
  </si>
  <si>
    <t>16.742498</t>
  </si>
  <si>
    <t>-62.187366</t>
  </si>
  <si>
    <t>Montserrat</t>
  </si>
  <si>
    <t>MT</t>
  </si>
  <si>
    <t>35.937496</t>
  </si>
  <si>
    <t>14.375416</t>
  </si>
  <si>
    <t>Malta</t>
  </si>
  <si>
    <t>MU</t>
  </si>
  <si>
    <t>-20.348404</t>
  </si>
  <si>
    <t>57.552152</t>
  </si>
  <si>
    <t>Mauritius</t>
  </si>
  <si>
    <t>MV</t>
  </si>
  <si>
    <t>3.202778</t>
  </si>
  <si>
    <t>73.22068</t>
  </si>
  <si>
    <t>Maldives</t>
  </si>
  <si>
    <t>MW</t>
  </si>
  <si>
    <t>-13.254308</t>
  </si>
  <si>
    <t>34.301525</t>
  </si>
  <si>
    <t>Malawi</t>
  </si>
  <si>
    <t>MX</t>
  </si>
  <si>
    <t>23.634501</t>
  </si>
  <si>
    <t>-102.552784</t>
  </si>
  <si>
    <t>MY</t>
  </si>
  <si>
    <t>4.210484</t>
  </si>
  <si>
    <t>101.975766</t>
  </si>
  <si>
    <t>Malaysia</t>
  </si>
  <si>
    <t>MZ</t>
  </si>
  <si>
    <t>-18.665695</t>
  </si>
  <si>
    <t>35.529562</t>
  </si>
  <si>
    <t>Mozambique</t>
  </si>
  <si>
    <t>NA</t>
  </si>
  <si>
    <t>-22.95764</t>
  </si>
  <si>
    <t>18.49041</t>
  </si>
  <si>
    <t>Namibia</t>
  </si>
  <si>
    <t>NC</t>
  </si>
  <si>
    <t>-20.904305</t>
  </si>
  <si>
    <t>165.618042</t>
  </si>
  <si>
    <t>New Caledonia</t>
  </si>
  <si>
    <t>NE</t>
  </si>
  <si>
    <t>17.607789</t>
  </si>
  <si>
    <t>8.081666</t>
  </si>
  <si>
    <t>Niger</t>
  </si>
  <si>
    <t>NF</t>
  </si>
  <si>
    <t>-29.040835</t>
  </si>
  <si>
    <t>167.954712</t>
  </si>
  <si>
    <t>Norfolk Island</t>
  </si>
  <si>
    <t>NG</t>
  </si>
  <si>
    <t>9.081999</t>
  </si>
  <si>
    <t>8.675277</t>
  </si>
  <si>
    <t>Nigeria</t>
  </si>
  <si>
    <t>NI</t>
  </si>
  <si>
    <t>12.865416</t>
  </si>
  <si>
    <t>-85.207229</t>
  </si>
  <si>
    <t>Nicaragua</t>
  </si>
  <si>
    <t>NL</t>
  </si>
  <si>
    <t>52.132633</t>
  </si>
  <si>
    <t>5.291266</t>
  </si>
  <si>
    <t>NO</t>
  </si>
  <si>
    <t>60.472024</t>
  </si>
  <si>
    <t>8.468946</t>
  </si>
  <si>
    <t>Norway</t>
  </si>
  <si>
    <t>NP</t>
  </si>
  <si>
    <t>28.394857</t>
  </si>
  <si>
    <t>84.124008</t>
  </si>
  <si>
    <t>Nepal</t>
  </si>
  <si>
    <t>NR</t>
  </si>
  <si>
    <t>-0.522778</t>
  </si>
  <si>
    <t>166.931503</t>
  </si>
  <si>
    <t>Nauru</t>
  </si>
  <si>
    <t>NU</t>
  </si>
  <si>
    <t>-19.054445</t>
  </si>
  <si>
    <t>-169.867233</t>
  </si>
  <si>
    <t>Niue</t>
  </si>
  <si>
    <t>NZ</t>
  </si>
  <si>
    <t>-40.900557</t>
  </si>
  <si>
    <t>174.885971</t>
  </si>
  <si>
    <t>New Zealand</t>
  </si>
  <si>
    <t>OM</t>
  </si>
  <si>
    <t>21.512583</t>
  </si>
  <si>
    <t>55.923255</t>
  </si>
  <si>
    <t>Oman</t>
  </si>
  <si>
    <t>PA</t>
  </si>
  <si>
    <t>8.537981</t>
  </si>
  <si>
    <t>-80.782127</t>
  </si>
  <si>
    <t>Panama</t>
  </si>
  <si>
    <t>PE</t>
  </si>
  <si>
    <t>-9.189967</t>
  </si>
  <si>
    <t>-75.015152</t>
  </si>
  <si>
    <t>Peru</t>
  </si>
  <si>
    <t>PF</t>
  </si>
  <si>
    <t>-17.679742</t>
  </si>
  <si>
    <t>-149.406843</t>
  </si>
  <si>
    <t>French Polynesia</t>
  </si>
  <si>
    <t>PG</t>
  </si>
  <si>
    <t>-6.314993</t>
  </si>
  <si>
    <t>143.95555</t>
  </si>
  <si>
    <t>Papua New Guinea</t>
  </si>
  <si>
    <t>PH</t>
  </si>
  <si>
    <t>12.879721</t>
  </si>
  <si>
    <t>121.774017</t>
  </si>
  <si>
    <t>Philippines</t>
  </si>
  <si>
    <t>PK</t>
  </si>
  <si>
    <t>30.375321</t>
  </si>
  <si>
    <t>69.345116</t>
  </si>
  <si>
    <t>Pakistan</t>
  </si>
  <si>
    <t>PL</t>
  </si>
  <si>
    <t>51.919438</t>
  </si>
  <si>
    <t>19.145136</t>
  </si>
  <si>
    <t>PM</t>
  </si>
  <si>
    <t>46.941936</t>
  </si>
  <si>
    <t>-56.27111</t>
  </si>
  <si>
    <t>Saint Pierre and Miquelon</t>
  </si>
  <si>
    <t>PN</t>
  </si>
  <si>
    <t>-24.703615</t>
  </si>
  <si>
    <t>-127.439308</t>
  </si>
  <si>
    <t>Pitcairn Islands</t>
  </si>
  <si>
    <t>PR</t>
  </si>
  <si>
    <t>18.220833</t>
  </si>
  <si>
    <t>-66.590149</t>
  </si>
  <si>
    <t>PS</t>
  </si>
  <si>
    <t>31.952162</t>
  </si>
  <si>
    <t>35.233154</t>
  </si>
  <si>
    <t>Palestinian Territories</t>
  </si>
  <si>
    <t>PT</t>
  </si>
  <si>
    <t>39.399872</t>
  </si>
  <si>
    <t>-8.224454</t>
  </si>
  <si>
    <t>Portugal</t>
  </si>
  <si>
    <t>PW</t>
  </si>
  <si>
    <t>7.51498</t>
  </si>
  <si>
    <t>134.58252</t>
  </si>
  <si>
    <t>Palau</t>
  </si>
  <si>
    <t>PY</t>
  </si>
  <si>
    <t>-23.442503</t>
  </si>
  <si>
    <t>-58.443832</t>
  </si>
  <si>
    <t>Paraguay</t>
  </si>
  <si>
    <t>QA</t>
  </si>
  <si>
    <t>25.354826</t>
  </si>
  <si>
    <t>51.183884</t>
  </si>
  <si>
    <t>Qatar</t>
  </si>
  <si>
    <t>RE</t>
  </si>
  <si>
    <t>-21.115141</t>
  </si>
  <si>
    <t>55.536384</t>
  </si>
  <si>
    <t>Réunion</t>
  </si>
  <si>
    <t>RO</t>
  </si>
  <si>
    <t>45.943161</t>
  </si>
  <si>
    <t>24.96676</t>
  </si>
  <si>
    <t>RS</t>
  </si>
  <si>
    <t>44.016521</t>
  </si>
  <si>
    <t>21.005859</t>
  </si>
  <si>
    <t>Serbia</t>
  </si>
  <si>
    <t>RU</t>
  </si>
  <si>
    <t>61.52401</t>
  </si>
  <si>
    <t>105.318756</t>
  </si>
  <si>
    <t>Russia</t>
  </si>
  <si>
    <t>RW</t>
  </si>
  <si>
    <t>-1.940278</t>
  </si>
  <si>
    <t>29.873888</t>
  </si>
  <si>
    <t>Rwanda</t>
  </si>
  <si>
    <t>SA</t>
  </si>
  <si>
    <t>23.885942</t>
  </si>
  <si>
    <t>45.079162</t>
  </si>
  <si>
    <t>Saudi Arabia</t>
  </si>
  <si>
    <t>SB</t>
  </si>
  <si>
    <t>-9.64571</t>
  </si>
  <si>
    <t>160.156194</t>
  </si>
  <si>
    <t>Solomon Islands</t>
  </si>
  <si>
    <t>SC</t>
  </si>
  <si>
    <t>-4.679574</t>
  </si>
  <si>
    <t>55.491977</t>
  </si>
  <si>
    <t>Seychelles</t>
  </si>
  <si>
    <t>SD</t>
  </si>
  <si>
    <t>12.862807</t>
  </si>
  <si>
    <t>30.217636</t>
  </si>
  <si>
    <t>Sudan</t>
  </si>
  <si>
    <t>SE</t>
  </si>
  <si>
    <t>60.128161</t>
  </si>
  <si>
    <t>18.643501</t>
  </si>
  <si>
    <t>SG</t>
  </si>
  <si>
    <t>1.352083</t>
  </si>
  <si>
    <t>103.819836</t>
  </si>
  <si>
    <t>Singapore</t>
  </si>
  <si>
    <t>SH</t>
  </si>
  <si>
    <t>-24.143474</t>
  </si>
  <si>
    <t>-10.030696</t>
  </si>
  <si>
    <t>Saint Helena</t>
  </si>
  <si>
    <t>SI</t>
  </si>
  <si>
    <t>46.151241</t>
  </si>
  <si>
    <t>14.995463</t>
  </si>
  <si>
    <t>SJ</t>
  </si>
  <si>
    <t>77.553604</t>
  </si>
  <si>
    <t>23.670272</t>
  </si>
  <si>
    <t>Svalbard and Jan Mayen</t>
  </si>
  <si>
    <t>SK</t>
  </si>
  <si>
    <t>48.669026</t>
  </si>
  <si>
    <t>19.699024</t>
  </si>
  <si>
    <t>Slovakia</t>
  </si>
  <si>
    <t>SL</t>
  </si>
  <si>
    <t>8.460555</t>
  </si>
  <si>
    <t>-11.779889</t>
  </si>
  <si>
    <t>Sierra Leone</t>
  </si>
  <si>
    <t>SM</t>
  </si>
  <si>
    <t>43.94236</t>
  </si>
  <si>
    <t>12.457777</t>
  </si>
  <si>
    <t>San Marino</t>
  </si>
  <si>
    <t>SN</t>
  </si>
  <si>
    <t>14.497401</t>
  </si>
  <si>
    <t>-14.452362</t>
  </si>
  <si>
    <t>Senegal</t>
  </si>
  <si>
    <t>SO</t>
  </si>
  <si>
    <t>5.152149</t>
  </si>
  <si>
    <t>46.199616</t>
  </si>
  <si>
    <t>Somalia</t>
  </si>
  <si>
    <t>SR</t>
  </si>
  <si>
    <t>3.919305</t>
  </si>
  <si>
    <t>-56.027783</t>
  </si>
  <si>
    <t>Suriname</t>
  </si>
  <si>
    <t>ST</t>
  </si>
  <si>
    <t>0.18636</t>
  </si>
  <si>
    <t>6.613081</t>
  </si>
  <si>
    <t>São Tomé and Príncipe</t>
  </si>
  <si>
    <t>SV</t>
  </si>
  <si>
    <t>13.794185</t>
  </si>
  <si>
    <t>-88.89653</t>
  </si>
  <si>
    <t>El Salvador</t>
  </si>
  <si>
    <t>SY</t>
  </si>
  <si>
    <t>34.802075</t>
  </si>
  <si>
    <t>38.996815</t>
  </si>
  <si>
    <t>Syria</t>
  </si>
  <si>
    <t>SZ</t>
  </si>
  <si>
    <t>-26.522503</t>
  </si>
  <si>
    <t>31.465866</t>
  </si>
  <si>
    <t>Swaziland</t>
  </si>
  <si>
    <t>TC</t>
  </si>
  <si>
    <t>21.694025</t>
  </si>
  <si>
    <t>-71.797928</t>
  </si>
  <si>
    <t>Turks and Caicos Islands</t>
  </si>
  <si>
    <t>TD</t>
  </si>
  <si>
    <t>15.454166</t>
  </si>
  <si>
    <t>18.732207</t>
  </si>
  <si>
    <t>Chad</t>
  </si>
  <si>
    <t>TF</t>
  </si>
  <si>
    <t>-49.280366</t>
  </si>
  <si>
    <t>69.348557</t>
  </si>
  <si>
    <t>French Southern Territories</t>
  </si>
  <si>
    <t>TG</t>
  </si>
  <si>
    <t>8.619543</t>
  </si>
  <si>
    <t>0.824782</t>
  </si>
  <si>
    <t>Togo</t>
  </si>
  <si>
    <t>TH</t>
  </si>
  <si>
    <t>15.870032</t>
  </si>
  <si>
    <t>100.992541</t>
  </si>
  <si>
    <t>Thailand</t>
  </si>
  <si>
    <t>TJ</t>
  </si>
  <si>
    <t>38.861034</t>
  </si>
  <si>
    <t>71.276093</t>
  </si>
  <si>
    <t>Tajikistan</t>
  </si>
  <si>
    <t>TK</t>
  </si>
  <si>
    <t>-8.967363</t>
  </si>
  <si>
    <t>-171.855881</t>
  </si>
  <si>
    <t>Tokelau</t>
  </si>
  <si>
    <t>TL</t>
  </si>
  <si>
    <t>-8.874217</t>
  </si>
  <si>
    <t>125.727539</t>
  </si>
  <si>
    <t>Timor-Leste</t>
  </si>
  <si>
    <t>TM</t>
  </si>
  <si>
    <t>38.969719</t>
  </si>
  <si>
    <t>59.556278</t>
  </si>
  <si>
    <t>Turkmenistan</t>
  </si>
  <si>
    <t>TN</t>
  </si>
  <si>
    <t>33.886917</t>
  </si>
  <si>
    <t>9.537499</t>
  </si>
  <si>
    <t>Tunisia</t>
  </si>
  <si>
    <t>TO</t>
  </si>
  <si>
    <t>-21.178986</t>
  </si>
  <si>
    <t>-175.198242</t>
  </si>
  <si>
    <t>Tonga</t>
  </si>
  <si>
    <t>TR</t>
  </si>
  <si>
    <t>38.963745</t>
  </si>
  <si>
    <t>35.243322</t>
  </si>
  <si>
    <t>Turkey</t>
  </si>
  <si>
    <t>TT</t>
  </si>
  <si>
    <t>10.691803</t>
  </si>
  <si>
    <t>-61.222503</t>
  </si>
  <si>
    <t>Trinidad and Tobago</t>
  </si>
  <si>
    <t>TV</t>
  </si>
  <si>
    <t>-7.109535</t>
  </si>
  <si>
    <t>177.64933</t>
  </si>
  <si>
    <t>Tuvalu</t>
  </si>
  <si>
    <t>TW</t>
  </si>
  <si>
    <t>23.69781</t>
  </si>
  <si>
    <t>120.960515</t>
  </si>
  <si>
    <t>Taiwan</t>
  </si>
  <si>
    <t>TZ</t>
  </si>
  <si>
    <t>-6.369028</t>
  </si>
  <si>
    <t>34.888822</t>
  </si>
  <si>
    <t>Tanzania</t>
  </si>
  <si>
    <t>UA</t>
  </si>
  <si>
    <t>48.379433</t>
  </si>
  <si>
    <t>31.16558</t>
  </si>
  <si>
    <t>Ukraine</t>
  </si>
  <si>
    <t>UG</t>
  </si>
  <si>
    <t>1.373333</t>
  </si>
  <si>
    <t>32.290275</t>
  </si>
  <si>
    <t>Uganda</t>
  </si>
  <si>
    <t>UM</t>
  </si>
  <si>
    <t>U.S. Minor Outlying Islands</t>
  </si>
  <si>
    <t>US</t>
  </si>
  <si>
    <t>37.09024</t>
  </si>
  <si>
    <t>-95.712891</t>
  </si>
  <si>
    <t>United States</t>
  </si>
  <si>
    <t>UY</t>
  </si>
  <si>
    <t>-32.522779</t>
  </si>
  <si>
    <t>-55.765835</t>
  </si>
  <si>
    <t>Uruguay</t>
  </si>
  <si>
    <t>UZ</t>
  </si>
  <si>
    <t>41.377491</t>
  </si>
  <si>
    <t>64.585262</t>
  </si>
  <si>
    <t>Uzbekistan</t>
  </si>
  <si>
    <t>VA</t>
  </si>
  <si>
    <t>41.902916</t>
  </si>
  <si>
    <t>12.453389</t>
  </si>
  <si>
    <t>Vatican City</t>
  </si>
  <si>
    <t>VC</t>
  </si>
  <si>
    <t>12.984305</t>
  </si>
  <si>
    <t>-61.287228</t>
  </si>
  <si>
    <t>Saint Vincent and the Grenadines</t>
  </si>
  <si>
    <t>VE</t>
  </si>
  <si>
    <t>6.42375</t>
  </si>
  <si>
    <t>-66.58973</t>
  </si>
  <si>
    <t>Venezuela</t>
  </si>
  <si>
    <t>VG</t>
  </si>
  <si>
    <t>18.420695</t>
  </si>
  <si>
    <t>-64.639968</t>
  </si>
  <si>
    <t>British Virgin Islands</t>
  </si>
  <si>
    <t>VI</t>
  </si>
  <si>
    <t>18.335765</t>
  </si>
  <si>
    <t>-64.896335</t>
  </si>
  <si>
    <t>U.S. Virgin Islands</t>
  </si>
  <si>
    <t>VN</t>
  </si>
  <si>
    <t>14.058324</t>
  </si>
  <si>
    <t>108.277199</t>
  </si>
  <si>
    <t>Vietnam</t>
  </si>
  <si>
    <t>VU</t>
  </si>
  <si>
    <t>-15.376706</t>
  </si>
  <si>
    <t>166.959158</t>
  </si>
  <si>
    <t>Vanuatu</t>
  </si>
  <si>
    <t>WF</t>
  </si>
  <si>
    <t>-13.768752</t>
  </si>
  <si>
    <t>-177.156097</t>
  </si>
  <si>
    <t>Wallis and Futuna</t>
  </si>
  <si>
    <t>WS</t>
  </si>
  <si>
    <t>-13.759029</t>
  </si>
  <si>
    <t>-172.104629</t>
  </si>
  <si>
    <t>Samoa</t>
  </si>
  <si>
    <t>XK</t>
  </si>
  <si>
    <t>42.602636</t>
  </si>
  <si>
    <t>20.902977</t>
  </si>
  <si>
    <t>Kosovo</t>
  </si>
  <si>
    <t>YE</t>
  </si>
  <si>
    <t>15.552727</t>
  </si>
  <si>
    <t>48.516388</t>
  </si>
  <si>
    <t>Yemen</t>
  </si>
  <si>
    <t>YT</t>
  </si>
  <si>
    <t>-12.8275</t>
  </si>
  <si>
    <t>45.166244</t>
  </si>
  <si>
    <t>Mayotte</t>
  </si>
  <si>
    <t>ZA</t>
  </si>
  <si>
    <t>-30.559482</t>
  </si>
  <si>
    <t>22.937506</t>
  </si>
  <si>
    <t>ZM</t>
  </si>
  <si>
    <t>-13.133897</t>
  </si>
  <si>
    <t>27.849332</t>
  </si>
  <si>
    <t>Zambia</t>
  </si>
  <si>
    <t>ZW</t>
  </si>
  <si>
    <t>-19.015438</t>
  </si>
  <si>
    <t>29.154857</t>
  </si>
  <si>
    <t>lat</t>
  </si>
  <si>
    <t>long</t>
  </si>
  <si>
    <t>Country_name1</t>
  </si>
  <si>
    <t>avg_skintone</t>
  </si>
  <si>
    <t>#C9A790</t>
  </si>
  <si>
    <t>#C78F72</t>
  </si>
  <si>
    <t>#D19F81</t>
  </si>
  <si>
    <t>#CEA58F</t>
  </si>
  <si>
    <t>#CF8868</t>
  </si>
  <si>
    <t>#CD9879</t>
  </si>
  <si>
    <t>#B27D57</t>
  </si>
  <si>
    <t>#C8A085</t>
  </si>
  <si>
    <t>#D2A98D</t>
  </si>
  <si>
    <t>#E4AA95</t>
  </si>
  <si>
    <t>#7B5046</t>
  </si>
  <si>
    <t>#B67253</t>
  </si>
  <si>
    <t>#E0BE9C</t>
  </si>
  <si>
    <t>#DCB18F</t>
  </si>
  <si>
    <t>#D8A884</t>
  </si>
  <si>
    <t>#C89372</t>
  </si>
  <si>
    <t>#E8B498</t>
  </si>
  <si>
    <t>#D6A88E</t>
  </si>
  <si>
    <t>#CDA084</t>
  </si>
  <si>
    <t>path_face</t>
  </si>
  <si>
    <t>Country_name2</t>
  </si>
  <si>
    <t>num_model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</si>
</sst>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202124"/>
      <name val="Roboto"/>
    </font>
    <font>
      <sz val="14"/>
      <color theme="1"/>
      <name val="Roboto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 applyAlignment="1">
      <alignment horizontal="left"/>
    </xf>
    <xf numFmtId="0" fontId="2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rwan Rahis" refreshedDate="44268.475350462963" createdVersion="6" refreshedVersion="6" minRefreshableVersion="3" recordCount="262" xr:uid="{53F67270-1C2D-C149-861D-2F9644E84BEE}">
  <cacheSource type="worksheet">
    <worksheetSource ref="B1:H263" sheet="countries_skintone"/>
  </cacheSource>
  <cacheFields count="7">
    <cacheField name="date" numFmtId="14">
      <sharedItems containsSemiMixedTypes="0" containsNonDate="0" containsDate="1" containsString="0" minDate="2000-01-01T00:00:00" maxDate="2018-01-13T00:00:00"/>
    </cacheField>
    <cacheField name="model" numFmtId="0">
      <sharedItems/>
    </cacheField>
    <cacheField name="country" numFmtId="0">
      <sharedItems count="28">
        <s v="Australia"/>
        <s v="Barbados"/>
        <s v="Brazil"/>
        <s v="Canada"/>
        <s v="China"/>
        <s v="Czech Republic"/>
        <s v="Estonia"/>
        <s v="Ethiopia"/>
        <s v="France"/>
        <s v="Hungary"/>
        <s v="Israel"/>
        <s v="Italy"/>
        <s v="Lebanon"/>
        <s v="Mexico"/>
        <s v="Netherlands"/>
        <s v="Poland"/>
        <s v="Romania"/>
        <s v="Russian Federation"/>
        <s v="Slovenia"/>
        <s v="South Africa"/>
        <s v="Spain"/>
        <s v="Sweden"/>
        <s v="United Kingdom"/>
        <s v="United States of America"/>
        <s v="Puerto Rico" u="1"/>
        <s v="Wales" u="1"/>
        <s v="Soviet Union" u="1"/>
        <s v="Jerusalem" u="1"/>
      </sharedItems>
    </cacheField>
    <cacheField name="R" numFmtId="0">
      <sharedItems containsSemiMixedTypes="0" containsString="0" containsNumber="1" containsInteger="1" minValue="64" maxValue="248"/>
    </cacheField>
    <cacheField name="G" numFmtId="0">
      <sharedItems containsSemiMixedTypes="0" containsString="0" containsNumber="1" containsInteger="1" minValue="44" maxValue="217"/>
    </cacheField>
    <cacheField name="B" numFmtId="0">
      <sharedItems containsSemiMixedTypes="0" containsString="0" containsNumber="1" containsInteger="1" minValue="43" maxValue="203"/>
    </cacheField>
    <cacheField name="47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2">
  <r>
    <d v="2016-01-06T00:00:00"/>
    <s v="Margot Robbie"/>
    <x v="0"/>
    <n v="210"/>
    <n v="159"/>
    <n v="114"/>
    <m/>
  </r>
  <r>
    <d v="2009-01-12T00:00:00"/>
    <s v="Cate Blanchett"/>
    <x v="0"/>
    <n v="187"/>
    <n v="158"/>
    <n v="137"/>
    <m/>
  </r>
  <r>
    <d v="2006-01-11T00:00:00"/>
    <s v="Cate Blanchett"/>
    <x v="0"/>
    <n v="181"/>
    <n v="165"/>
    <n v="151"/>
    <m/>
  </r>
  <r>
    <d v="2004-01-12T00:00:00"/>
    <s v="Cate Blanchett"/>
    <x v="0"/>
    <n v="189"/>
    <n v="172"/>
    <n v="158"/>
    <m/>
  </r>
  <r>
    <d v="2000-01-07T00:00:00"/>
    <s v="Cate Blanchett"/>
    <x v="0"/>
    <n v="217"/>
    <n v="174"/>
    <n v="151"/>
    <m/>
  </r>
  <r>
    <d v="2014-01-01T00:00:00"/>
    <s v="Cate Blanchett"/>
    <x v="0"/>
    <n v="220"/>
    <n v="174"/>
    <n v="151"/>
    <m/>
  </r>
  <r>
    <d v="2016-01-04T00:00:00"/>
    <s v="Rihanna"/>
    <x v="1"/>
    <n v="156"/>
    <n v="106"/>
    <n v="89"/>
    <m/>
  </r>
  <r>
    <d v="2018-01-06T00:00:00"/>
    <s v="Rihanna"/>
    <x v="1"/>
    <n v="180"/>
    <n v="118"/>
    <n v="72"/>
    <m/>
  </r>
  <r>
    <d v="2014-01-03T00:00:00"/>
    <s v="Rihanna"/>
    <x v="1"/>
    <n v="204"/>
    <n v="151"/>
    <n v="137"/>
    <m/>
  </r>
  <r>
    <d v="2011-01-04T00:00:00"/>
    <s v="Rihanna"/>
    <x v="1"/>
    <n v="214"/>
    <n v="161"/>
    <n v="133"/>
    <m/>
  </r>
  <r>
    <d v="2012-01-11T00:00:00"/>
    <s v="Rihanna"/>
    <x v="1"/>
    <n v="243"/>
    <n v="177"/>
    <n v="141"/>
    <m/>
  </r>
  <r>
    <d v="2018-01-07T00:00:00"/>
    <s v="Gisele Bundchen"/>
    <x v="2"/>
    <n v="184"/>
    <n v="125"/>
    <n v="82"/>
    <m/>
  </r>
  <r>
    <d v="2007-01-05T00:00:00"/>
    <s v="Caroline Trentini"/>
    <x v="2"/>
    <n v="194"/>
    <n v="151"/>
    <n v="116"/>
    <m/>
  </r>
  <r>
    <d v="2010-01-04T00:00:00"/>
    <s v="Gisele Bundchen"/>
    <x v="2"/>
    <n v="213"/>
    <n v="156"/>
    <n v="113"/>
    <m/>
  </r>
  <r>
    <d v="2000-01-05T00:00:00"/>
    <s v="Gisele Bundchen"/>
    <x v="2"/>
    <n v="204"/>
    <n v="143"/>
    <n v="127"/>
    <m/>
  </r>
  <r>
    <d v="2000-01-06T00:00:00"/>
    <s v="Gisele Bundchen"/>
    <x v="2"/>
    <n v="211"/>
    <n v="156"/>
    <n v="129"/>
    <m/>
  </r>
  <r>
    <d v="2000-01-01T00:00:00"/>
    <s v="Gisele Bundchen"/>
    <x v="2"/>
    <n v="209"/>
    <n v="153"/>
    <n v="133"/>
    <m/>
  </r>
  <r>
    <d v="2001-01-06T00:00:00"/>
    <s v="Gisele Bundchen"/>
    <x v="2"/>
    <n v="207"/>
    <n v="155"/>
    <n v="139"/>
    <m/>
  </r>
  <r>
    <d v="2001-01-12T00:00:00"/>
    <s v="Gisele Bundchen"/>
    <x v="2"/>
    <n v="217"/>
    <n v="170"/>
    <n v="133"/>
    <m/>
  </r>
  <r>
    <d v="2008-01-04T00:00:00"/>
    <s v="Gisele Bundchen"/>
    <x v="2"/>
    <n v="214"/>
    <n v="172"/>
    <n v="138"/>
    <m/>
  </r>
  <r>
    <d v="2004-01-09T00:00:00"/>
    <s v="Gisele Bundchen"/>
    <x v="2"/>
    <n v="235"/>
    <n v="205"/>
    <n v="179"/>
    <m/>
  </r>
  <r>
    <d v="2001-01-09T00:00:00"/>
    <s v="Linda Evangelista"/>
    <x v="3"/>
    <n v="200"/>
    <n v="153"/>
    <n v="128"/>
    <m/>
  </r>
  <r>
    <d v="2006-01-08T00:00:00"/>
    <s v="Linda Evangelista"/>
    <x v="3"/>
    <n v="204"/>
    <n v="155"/>
    <n v="130"/>
    <m/>
  </r>
  <r>
    <d v="2010-01-01T00:00:00"/>
    <s v="Rachel McAdams"/>
    <x v="3"/>
    <n v="214"/>
    <n v="186"/>
    <n v="170"/>
    <m/>
  </r>
  <r>
    <d v="2017-01-03T00:00:00"/>
    <s v="Liu Wen"/>
    <x v="4"/>
    <n v="200"/>
    <n v="121"/>
    <n v="85"/>
    <m/>
  </r>
  <r>
    <d v="2014-01-09T00:00:00"/>
    <s v="Fei Fei Sun"/>
    <x v="4"/>
    <n v="214"/>
    <n v="150"/>
    <n v="122"/>
    <m/>
  </r>
  <r>
    <d v="2001-01-02T00:00:00"/>
    <s v="Karolina Kurkova"/>
    <x v="5"/>
    <n v="199"/>
    <n v="155"/>
    <n v="131"/>
    <m/>
  </r>
  <r>
    <d v="2001-01-05T00:00:00"/>
    <s v="Carmen Kass"/>
    <x v="6"/>
    <n v="203"/>
    <n v="139"/>
    <n v="103"/>
    <m/>
  </r>
  <r>
    <d v="2000-01-11T00:00:00"/>
    <s v="Carmen Kass"/>
    <x v="6"/>
    <n v="210"/>
    <n v="163"/>
    <n v="115"/>
    <m/>
  </r>
  <r>
    <d v="2000-01-08T00:00:00"/>
    <s v="Carmen Kass"/>
    <x v="6"/>
    <n v="202"/>
    <n v="150"/>
    <n v="131"/>
    <m/>
  </r>
  <r>
    <d v="2000-01-01T00:00:00"/>
    <s v="Carmen Kass"/>
    <x v="6"/>
    <n v="206"/>
    <n v="154"/>
    <n v="134"/>
    <m/>
  </r>
  <r>
    <d v="2009-01-05T00:00:00"/>
    <s v="Liya Kebede"/>
    <x v="7"/>
    <n v="172"/>
    <n v="120"/>
    <n v="66"/>
    <m/>
  </r>
  <r>
    <d v="2005-01-05T00:00:00"/>
    <s v="Liya Kebede"/>
    <x v="7"/>
    <n v="177"/>
    <n v="126"/>
    <n v="98"/>
    <m/>
  </r>
  <r>
    <d v="2017-01-01T00:00:00"/>
    <s v="Ruth Negga"/>
    <x v="7"/>
    <n v="184"/>
    <n v="129"/>
    <n v="98"/>
    <m/>
  </r>
  <r>
    <d v="2009-01-11T00:00:00"/>
    <s v="Marion Cotillard"/>
    <x v="8"/>
    <n v="177"/>
    <n v="148"/>
    <n v="109"/>
    <m/>
  </r>
  <r>
    <d v="2010-01-07T00:00:00"/>
    <s v="Marion Cotillard"/>
    <x v="8"/>
    <n v="191"/>
    <n v="124"/>
    <n v="98"/>
    <m/>
  </r>
  <r>
    <d v="2012-01-08T00:00:00"/>
    <s v="Marion Cotillard"/>
    <x v="8"/>
    <n v="205"/>
    <n v="172"/>
    <n v="145"/>
    <m/>
  </r>
  <r>
    <d v="2011-01-07T00:00:00"/>
    <s v="Emma Watson"/>
    <x v="8"/>
    <n v="225"/>
    <n v="197"/>
    <n v="180"/>
    <m/>
  </r>
  <r>
    <d v="2014-01-09T00:00:00"/>
    <s v="Vanessa Axente"/>
    <x v="9"/>
    <n v="219"/>
    <n v="153"/>
    <n v="124"/>
    <m/>
  </r>
  <r>
    <d v="2002-01-05T00:00:00"/>
    <s v="Natalie Portman"/>
    <x v="10"/>
    <n v="201"/>
    <n v="156"/>
    <n v="134"/>
    <m/>
  </r>
  <r>
    <d v="2004-01-02T00:00:00"/>
    <s v="Natalie Portman"/>
    <x v="10"/>
    <n v="208"/>
    <n v="161"/>
    <n v="135"/>
    <m/>
  </r>
  <r>
    <d v="2011-01-01T00:00:00"/>
    <s v="Natalie Portman"/>
    <x v="10"/>
    <n v="219"/>
    <n v="179"/>
    <n v="140"/>
    <m/>
  </r>
  <r>
    <d v="2006-01-03T00:00:00"/>
    <s v="Natalie Portman"/>
    <x v="10"/>
    <n v="214"/>
    <n v="179"/>
    <n v="155"/>
    <m/>
  </r>
  <r>
    <d v="2017-01-03T00:00:00"/>
    <s v="Vittoria Ceretti"/>
    <x v="11"/>
    <n v="219"/>
    <n v="136"/>
    <n v="97"/>
    <m/>
  </r>
  <r>
    <d v="2014-01-12T00:00:00"/>
    <s v="Amy Adams"/>
    <x v="11"/>
    <n v="236"/>
    <n v="205"/>
    <n v="201"/>
    <m/>
  </r>
  <r>
    <d v="2018-01-05T00:00:00"/>
    <s v="Amal Clooney"/>
    <x v="12"/>
    <n v="219"/>
    <n v="175"/>
    <n v="149"/>
    <m/>
  </r>
  <r>
    <d v="2018-01-01T00:00:00"/>
    <s v="Lupita Nyongo"/>
    <x v="13"/>
    <n v="64"/>
    <n v="44"/>
    <n v="44"/>
    <m/>
  </r>
  <r>
    <d v="2015-01-10T00:00:00"/>
    <s v="Lupita Nyongo"/>
    <x v="13"/>
    <n v="88"/>
    <n v="52"/>
    <n v="43"/>
    <m/>
  </r>
  <r>
    <d v="2014-01-07T00:00:00"/>
    <s v="Lupita Nyongo"/>
    <x v="13"/>
    <n v="133"/>
    <n v="82"/>
    <n v="79"/>
    <m/>
  </r>
  <r>
    <d v="2016-01-10T00:00:00"/>
    <s v="Lupita Nyongo"/>
    <x v="13"/>
    <n v="143"/>
    <n v="83"/>
    <n v="71"/>
    <m/>
  </r>
  <r>
    <d v="2005-01-06T00:00:00"/>
    <s v="Salma Hayek"/>
    <x v="13"/>
    <n v="187"/>
    <n v="138"/>
    <n v="111"/>
    <m/>
  </r>
  <r>
    <d v="2017-01-03T00:00:00"/>
    <s v="Imaan Hammam"/>
    <x v="14"/>
    <n v="171"/>
    <n v="84"/>
    <n v="45"/>
    <m/>
  </r>
  <r>
    <d v="2014-01-09T00:00:00"/>
    <s v="Imaan Hammam"/>
    <x v="14"/>
    <n v="177"/>
    <n v="105"/>
    <n v="79"/>
    <m/>
  </r>
  <r>
    <d v="2007-01-05T00:00:00"/>
    <s v="Doutzen Kroes"/>
    <x v="14"/>
    <n v="199"/>
    <n v="154"/>
    <n v="125"/>
    <m/>
  </r>
  <r>
    <d v="2009-01-05T00:00:00"/>
    <s v="Anna Jagodzinska"/>
    <x v="15"/>
    <n v="213"/>
    <n v="170"/>
    <n v="122"/>
    <m/>
  </r>
  <r>
    <d v="2004-01-09T00:00:00"/>
    <s v="Daria Werbowy"/>
    <x v="15"/>
    <n v="236"/>
    <n v="209"/>
    <n v="189"/>
    <m/>
  </r>
  <r>
    <d v="2014-01-09T00:00:00"/>
    <s v="Andreea Diaconu"/>
    <x v="16"/>
    <n v="212"/>
    <n v="148"/>
    <n v="118"/>
    <m/>
  </r>
  <r>
    <d v="2007-01-05T00:00:00"/>
    <s v="Sasha Pivovarova"/>
    <x v="17"/>
    <n v="201"/>
    <n v="156"/>
    <n v="124"/>
    <m/>
  </r>
  <r>
    <d v="2009-01-05T00:00:00"/>
    <s v="Natalia Vodianova"/>
    <x v="17"/>
    <n v="211"/>
    <n v="164"/>
    <n v="110"/>
    <m/>
  </r>
  <r>
    <d v="2007-01-07T00:00:00"/>
    <s v="Natalia Vodianova"/>
    <x v="17"/>
    <n v="209"/>
    <n v="169"/>
    <n v="145"/>
    <m/>
  </r>
  <r>
    <d v="2014-01-11T00:00:00"/>
    <s v="Natalia Vodianova"/>
    <x v="17"/>
    <n v="238"/>
    <n v="184"/>
    <n v="141"/>
    <m/>
  </r>
  <r>
    <d v="2004-01-09T00:00:00"/>
    <s v="Natalia Vodianova"/>
    <x v="17"/>
    <n v="240"/>
    <n v="214"/>
    <n v="196"/>
    <m/>
  </r>
  <r>
    <d v="2005-01-02T00:00:00"/>
    <s v="Melania Trump"/>
    <x v="18"/>
    <n v="219"/>
    <n v="188"/>
    <n v="162"/>
    <m/>
  </r>
  <r>
    <d v="2000-01-10T00:00:00"/>
    <s v="Charlize Theron"/>
    <x v="19"/>
    <n v="189"/>
    <n v="123"/>
    <n v="99"/>
    <m/>
  </r>
  <r>
    <d v="2007-01-10T00:00:00"/>
    <s v="Charlize Theron"/>
    <x v="19"/>
    <n v="205"/>
    <n v="163"/>
    <n v="127"/>
    <m/>
  </r>
  <r>
    <d v="2009-01-09T00:00:00"/>
    <s v="Charlize Theron"/>
    <x v="19"/>
    <n v="221"/>
    <n v="174"/>
    <n v="119"/>
    <m/>
  </r>
  <r>
    <d v="2004-01-10T00:00:00"/>
    <s v="Charlize Theron"/>
    <x v="19"/>
    <n v="231"/>
    <n v="190"/>
    <n v="136"/>
    <m/>
  </r>
  <r>
    <d v="2014-01-06T00:00:00"/>
    <s v="Charlize Theron"/>
    <x v="19"/>
    <n v="230"/>
    <n v="169"/>
    <n v="146"/>
    <m/>
  </r>
  <r>
    <d v="2011-01-12T00:00:00"/>
    <s v="Charlize Theron"/>
    <x v="19"/>
    <n v="221"/>
    <n v="190"/>
    <n v="165"/>
    <m/>
  </r>
  <r>
    <d v="2007-01-12T00:00:00"/>
    <s v="Penelope Cruz"/>
    <x v="20"/>
    <n v="174"/>
    <n v="134"/>
    <n v="107"/>
    <m/>
  </r>
  <r>
    <d v="2009-01-11T00:00:00"/>
    <s v="Penelope Cruz"/>
    <x v="20"/>
    <n v="181"/>
    <n v="145"/>
    <n v="101"/>
    <m/>
  </r>
  <r>
    <d v="2011-01-06T00:00:00"/>
    <s v="Penelope Cruz"/>
    <x v="20"/>
    <n v="197"/>
    <n v="140"/>
    <n v="111"/>
    <m/>
  </r>
  <r>
    <d v="2001-01-03T00:00:00"/>
    <s v="Penelope Cruz"/>
    <x v="20"/>
    <n v="223"/>
    <n v="142"/>
    <n v="105"/>
    <m/>
  </r>
  <r>
    <d v="2016-01-02T00:00:00"/>
    <s v="Penelope Cruz"/>
    <x v="20"/>
    <n v="227"/>
    <n v="175"/>
    <n v="144"/>
    <m/>
  </r>
  <r>
    <d v="2016-01-01T00:00:00"/>
    <s v="Alicia Vikander"/>
    <x v="21"/>
    <n v="231"/>
    <n v="172"/>
    <n v="150"/>
    <m/>
  </r>
  <r>
    <d v="2018-01-03T00:00:00"/>
    <s v="Alicia Vikander"/>
    <x v="21"/>
    <n v="234"/>
    <n v="187"/>
    <n v="154"/>
    <m/>
  </r>
  <r>
    <d v="2017-01-03T00:00:00"/>
    <s v="Adwoa Aboah"/>
    <x v="22"/>
    <n v="186"/>
    <n v="103"/>
    <n v="62"/>
    <m/>
  </r>
  <r>
    <d v="2008-01-08T00:00:00"/>
    <s v="Kate Moss"/>
    <x v="22"/>
    <n v="161"/>
    <n v="127"/>
    <n v="95"/>
    <m/>
  </r>
  <r>
    <d v="2007-01-05T00:00:00"/>
    <s v="Lily Donaldson"/>
    <x v="22"/>
    <n v="189"/>
    <n v="143"/>
    <n v="112"/>
    <m/>
  </r>
  <r>
    <d v="2007-01-06T00:00:00"/>
    <s v="Keira Knightley"/>
    <x v="22"/>
    <n v="200"/>
    <n v="151"/>
    <n v="112"/>
    <m/>
  </r>
  <r>
    <d v="2014-01-09T00:00:00"/>
    <s v="Edie Campbell"/>
    <x v="22"/>
    <n v="210"/>
    <n v="146"/>
    <n v="119"/>
    <m/>
  </r>
  <r>
    <d v="2008-01-10T00:00:00"/>
    <s v="Rachel Weisz"/>
    <x v="22"/>
    <n v="200"/>
    <n v="163"/>
    <n v="143"/>
    <m/>
  </r>
  <r>
    <d v="2011-01-09T00:00:00"/>
    <s v="Kate Moss"/>
    <x v="22"/>
    <n v="204"/>
    <n v="165"/>
    <n v="139"/>
    <m/>
  </r>
  <r>
    <d v="2008-01-09T00:00:00"/>
    <s v="Keira Knightley"/>
    <x v="22"/>
    <n v="190"/>
    <n v="166"/>
    <n v="153"/>
    <m/>
  </r>
  <r>
    <d v="2014-01-09T00:00:00"/>
    <s v="Cara Delevingne"/>
    <x v="22"/>
    <n v="218"/>
    <n v="156"/>
    <n v="127"/>
    <m/>
  </r>
  <r>
    <d v="2018-01-12T00:00:00"/>
    <s v="Emily Blunt"/>
    <x v="22"/>
    <n v="217"/>
    <n v="156"/>
    <n v="130"/>
    <m/>
  </r>
  <r>
    <d v="2017-01-11T00:00:00"/>
    <s v="Daisy Ridley"/>
    <x v="22"/>
    <n v="209"/>
    <n v="163"/>
    <n v="143"/>
    <m/>
  </r>
  <r>
    <d v="2005-01-07T00:00:00"/>
    <s v="Kate Winslet"/>
    <x v="22"/>
    <n v="219"/>
    <n v="171"/>
    <n v="137"/>
    <m/>
  </r>
  <r>
    <d v="2005-01-12T00:00:00"/>
    <s v="Keira Knightley"/>
    <x v="22"/>
    <n v="219"/>
    <n v="179"/>
    <n v="141"/>
    <m/>
  </r>
  <r>
    <d v="2006-01-05T00:00:00"/>
    <s v="Keira Knightley"/>
    <x v="22"/>
    <n v="223"/>
    <n v="179"/>
    <n v="140"/>
    <m/>
  </r>
  <r>
    <d v="2013-01-11T00:00:00"/>
    <s v="Kate Winslet"/>
    <x v="22"/>
    <n v="224"/>
    <n v="177"/>
    <n v="152"/>
    <m/>
  </r>
  <r>
    <d v="2010-01-10T00:00:00"/>
    <s v="Carey Mulligan"/>
    <x v="22"/>
    <n v="224"/>
    <n v="191"/>
    <n v="154"/>
    <m/>
  </r>
  <r>
    <d v="2013-01-05T00:00:00"/>
    <s v="Carey Mulligan"/>
    <x v="22"/>
    <n v="226"/>
    <n v="191"/>
    <n v="158"/>
    <m/>
  </r>
  <r>
    <d v="2015-01-07T00:00:00"/>
    <s v="Cara Delevingne"/>
    <x v="22"/>
    <n v="236"/>
    <n v="174"/>
    <n v="149"/>
    <m/>
  </r>
  <r>
    <d v="2015-01-05T00:00:00"/>
    <s v="Carey Mulligan"/>
    <x v="22"/>
    <n v="240"/>
    <n v="186"/>
    <n v="152"/>
    <m/>
  </r>
  <r>
    <d v="2016-01-03T00:00:00"/>
    <s v="Adele"/>
    <x v="22"/>
    <n v="240"/>
    <n v="187"/>
    <n v="165"/>
    <m/>
  </r>
  <r>
    <d v="2012-01-03T00:00:00"/>
    <s v="Adele"/>
    <x v="22"/>
    <n v="215"/>
    <n v="199"/>
    <n v="191"/>
    <m/>
  </r>
  <r>
    <d v="2012-01-10T00:00:00"/>
    <s v="Keira Knightley"/>
    <x v="22"/>
    <n v="238"/>
    <n v="191"/>
    <n v="180"/>
    <m/>
  </r>
  <r>
    <d v="2018-01-11T00:00:00"/>
    <s v="Claire Foy"/>
    <x v="22"/>
    <n v="239"/>
    <n v="208"/>
    <n v="197"/>
    <m/>
  </r>
  <r>
    <d v="2002-01-11T00:00:00"/>
    <s v="Catherine Zeta-Jones"/>
    <x v="22"/>
    <n v="204"/>
    <n v="164"/>
    <n v="147"/>
    <m/>
  </r>
  <r>
    <d v="2001-01-07T00:00:00"/>
    <s v="Catherine Zeta-Jones"/>
    <x v="22"/>
    <n v="211"/>
    <n v="174"/>
    <n v="160"/>
    <m/>
  </r>
  <r>
    <d v="2014-01-09T00:00:00"/>
    <s v="Joan Smalls"/>
    <x v="23"/>
    <n v="183"/>
    <n v="113"/>
    <n v="86"/>
    <m/>
  </r>
  <r>
    <d v="2009-01-03T00:00:00"/>
    <s v="Michelle Obama"/>
    <x v="23"/>
    <n v="132"/>
    <n v="73"/>
    <n v="48"/>
    <m/>
  </r>
  <r>
    <d v="2015-01-04T00:00:00"/>
    <s v="Serena Williams"/>
    <x v="23"/>
    <n v="135"/>
    <n v="80"/>
    <n v="56"/>
    <m/>
  </r>
  <r>
    <d v="2018-01-02T00:00:00"/>
    <s v="Serena Williams"/>
    <x v="23"/>
    <n v="147"/>
    <n v="94"/>
    <n v="71"/>
    <m/>
  </r>
  <r>
    <d v="2009-01-04T00:00:00"/>
    <s v="Beyonce"/>
    <x v="23"/>
    <n v="145"/>
    <n v="104"/>
    <n v="76"/>
    <m/>
  </r>
  <r>
    <d v="2002-01-12T00:00:00"/>
    <s v="Halle Berry"/>
    <x v="23"/>
    <n v="144"/>
    <n v="96"/>
    <n v="81"/>
    <m/>
  </r>
  <r>
    <d v="2012-01-06T00:00:00"/>
    <s v="Serena Williams"/>
    <x v="23"/>
    <n v="156"/>
    <n v="90"/>
    <n v="70"/>
    <m/>
  </r>
  <r>
    <d v="2016-01-12T00:00:00"/>
    <s v="Michelle Obama"/>
    <x v="23"/>
    <n v="163"/>
    <n v="114"/>
    <n v="73"/>
    <m/>
  </r>
  <r>
    <d v="2008-01-12T00:00:00"/>
    <s v="Jennifer Aniston"/>
    <x v="23"/>
    <n v="149"/>
    <n v="116"/>
    <n v="90"/>
    <m/>
  </r>
  <r>
    <d v="2007-01-03T00:00:00"/>
    <s v="Jennifer Hudson"/>
    <x v="23"/>
    <n v="166"/>
    <n v="121"/>
    <n v="85"/>
    <m/>
  </r>
  <r>
    <d v="2018-01-09T00:00:00"/>
    <s v="Beyonce"/>
    <x v="23"/>
    <n v="185"/>
    <n v="118"/>
    <n v="71"/>
    <m/>
  </r>
  <r>
    <d v="2008-01-11T00:00:00"/>
    <s v="Reese Witherspoon"/>
    <x v="23"/>
    <n v="159"/>
    <n v="131"/>
    <n v="101"/>
    <m/>
  </r>
  <r>
    <d v="2008-01-02T00:00:00"/>
    <s v="Kate Bosworth"/>
    <x v="23"/>
    <n v="166"/>
    <n v="125"/>
    <n v="97"/>
    <m/>
  </r>
  <r>
    <d v="2009-01-02T00:00:00"/>
    <s v="Blake Lively"/>
    <x v="23"/>
    <n v="169"/>
    <n v="131"/>
    <n v="94"/>
    <m/>
  </r>
  <r>
    <d v="2013-01-04T00:00:00"/>
    <s v="Michelle Obama"/>
    <x v="23"/>
    <n v="189"/>
    <n v="108"/>
    <n v="74"/>
    <m/>
  </r>
  <r>
    <d v="2009-01-06T00:00:00"/>
    <s v="Cameron Diaz"/>
    <x v="23"/>
    <n v="163"/>
    <n v="135"/>
    <n v="100"/>
    <m/>
  </r>
  <r>
    <d v="2002-01-06T00:00:00"/>
    <s v="Ashley Judd"/>
    <x v="23"/>
    <n v="173"/>
    <n v="112"/>
    <n v="91"/>
    <m/>
  </r>
  <r>
    <d v="2011-01-08T00:00:00"/>
    <s v="Sarah Jessica Parker"/>
    <x v="23"/>
    <n v="175"/>
    <n v="129"/>
    <n v="95"/>
    <m/>
  </r>
  <r>
    <d v="2016-01-08T00:00:00"/>
    <s v="Gigi Hadid"/>
    <x v="23"/>
    <n v="188"/>
    <n v="115"/>
    <n v="83"/>
    <m/>
  </r>
  <r>
    <d v="2002-01-10T00:00:00"/>
    <s v="Christy Turlington"/>
    <x v="23"/>
    <n v="165"/>
    <n v="127"/>
    <n v="106"/>
    <m/>
  </r>
  <r>
    <d v="2003-01-08T00:00:00"/>
    <s v="Sarah Jessica Parker"/>
    <x v="23"/>
    <n v="176"/>
    <n v="132"/>
    <n v="102"/>
    <m/>
  </r>
  <r>
    <d v="2003-01-01T00:00:00"/>
    <s v="Sandra Bullock"/>
    <x v="23"/>
    <n v="176"/>
    <n v="128"/>
    <n v="103"/>
    <m/>
  </r>
  <r>
    <d v="2017-01-03T00:00:00"/>
    <s v="Kendall Jenner"/>
    <x v="23"/>
    <n v="200"/>
    <n v="116"/>
    <n v="80"/>
    <m/>
  </r>
  <r>
    <d v="2003-01-04T00:00:00"/>
    <s v="Brooke Shields"/>
    <x v="23"/>
    <n v="177"/>
    <n v="138"/>
    <n v="103"/>
    <m/>
  </r>
  <r>
    <d v="2017-01-03T00:00:00"/>
    <s v="Ashley Graham"/>
    <x v="23"/>
    <n v="208"/>
    <n v="114"/>
    <n v="74"/>
    <m/>
  </r>
  <r>
    <d v="2009-01-11T00:00:00"/>
    <s v="Kate Hudson"/>
    <x v="23"/>
    <n v="180"/>
    <n v="146"/>
    <n v="104"/>
    <m/>
  </r>
  <r>
    <d v="2001-01-01T00:00:00"/>
    <s v="Marion Jones"/>
    <x v="23"/>
    <n v="199"/>
    <n v="121"/>
    <n v="85"/>
    <m/>
  </r>
  <r>
    <d v="2004-01-03T00:00:00"/>
    <s v="Angelina Jolie"/>
    <x v="23"/>
    <n v="184"/>
    <n v="123"/>
    <n v="103"/>
    <m/>
  </r>
  <r>
    <d v="2004-01-01T00:00:00"/>
    <s v="Jennifer Aniston"/>
    <x v="23"/>
    <n v="194"/>
    <n v="131"/>
    <n v="97"/>
    <m/>
  </r>
  <r>
    <d v="2004-01-04T00:00:00"/>
    <s v="Gwen Stefani"/>
    <x v="23"/>
    <n v="181"/>
    <n v="130"/>
    <n v="110"/>
    <m/>
  </r>
  <r>
    <d v="2006-01-10T00:00:00"/>
    <s v="Sandra Bullock"/>
    <x v="23"/>
    <n v="187"/>
    <n v="139"/>
    <n v="109"/>
    <m/>
  </r>
  <r>
    <d v="2000-01-03T00:00:00"/>
    <s v="Amber Valletta"/>
    <x v="23"/>
    <n v="191"/>
    <n v="147"/>
    <n v="104"/>
    <m/>
  </r>
  <r>
    <d v="2009-01-11T00:00:00"/>
    <s v="Nicole Kidman"/>
    <x v="23"/>
    <n v="185"/>
    <n v="154"/>
    <n v="113"/>
    <m/>
  </r>
  <r>
    <d v="2017-01-08T00:00:00"/>
    <s v="Gigi Hadid"/>
    <x v="23"/>
    <n v="204"/>
    <n v="134"/>
    <n v="95"/>
    <m/>
  </r>
  <r>
    <d v="2002-01-03T00:00:00"/>
    <s v="Gwyneth Paltrow"/>
    <x v="23"/>
    <n v="197"/>
    <n v="138"/>
    <n v="102"/>
    <m/>
  </r>
  <r>
    <d v="2007-01-04T00:00:00"/>
    <s v="Scarlett Johansson"/>
    <x v="23"/>
    <n v="173"/>
    <n v="146"/>
    <n v="128"/>
    <m/>
  </r>
  <r>
    <d v="2017-01-03T00:00:00"/>
    <s v="Gigi Hadid"/>
    <x v="23"/>
    <n v="211"/>
    <n v="129"/>
    <n v="90"/>
    <m/>
  </r>
  <r>
    <d v="2003-01-02T00:00:00"/>
    <s v="Debra Messing"/>
    <x v="23"/>
    <n v="192"/>
    <n v="144"/>
    <n v="112"/>
    <m/>
  </r>
  <r>
    <d v="2017-01-07T00:00:00"/>
    <s v="Zendaya"/>
    <x v="23"/>
    <n v="198"/>
    <n v="135"/>
    <n v="106"/>
    <m/>
  </r>
  <r>
    <d v="2001-01-10T00:00:00"/>
    <s v="Carolyn Murphy"/>
    <x v="23"/>
    <n v="191"/>
    <n v="136"/>
    <n v="115"/>
    <m/>
  </r>
  <r>
    <d v="2006-01-06T00:00:00"/>
    <s v="Uma Thurman"/>
    <x v="23"/>
    <n v="207"/>
    <n v="155"/>
    <n v="100"/>
    <m/>
  </r>
  <r>
    <d v="2003-01-05T00:00:00"/>
    <s v="Cameron Diaz"/>
    <x v="23"/>
    <n v="174"/>
    <n v="146"/>
    <n v="132"/>
    <m/>
  </r>
  <r>
    <d v="2010-01-03T00:00:00"/>
    <s v="Tina Fey"/>
    <x v="23"/>
    <n v="208"/>
    <n v="148"/>
    <n v="102"/>
    <m/>
  </r>
  <r>
    <d v="2010-01-12T00:00:00"/>
    <s v="Angelina Jolie"/>
    <x v="23"/>
    <n v="179"/>
    <n v="150"/>
    <n v="132"/>
    <m/>
  </r>
  <r>
    <d v="2013-01-03T00:00:00"/>
    <s v="Beyonce"/>
    <x v="23"/>
    <n v="202"/>
    <n v="136"/>
    <n v="112"/>
    <m/>
  </r>
  <r>
    <d v="2003-01-10T00:00:00"/>
    <s v="Gwyneth Paltrow"/>
    <x v="23"/>
    <n v="203"/>
    <n v="149"/>
    <n v="111"/>
    <m/>
  </r>
  <r>
    <d v="2007-01-02T00:00:00"/>
    <s v="Renee Zellweger"/>
    <x v="23"/>
    <n v="188"/>
    <n v="158"/>
    <n v="127"/>
    <m/>
  </r>
  <r>
    <d v="2002-01-02T00:00:00"/>
    <s v="Sarah Jessica Parker"/>
    <x v="23"/>
    <n v="197"/>
    <n v="152"/>
    <n v="118"/>
    <m/>
  </r>
  <r>
    <d v="2012-01-04T00:00:00"/>
    <s v="Jennifer Lopez"/>
    <x v="23"/>
    <n v="195"/>
    <n v="156"/>
    <n v="122"/>
    <m/>
  </r>
  <r>
    <d v="2017-01-04T00:00:00"/>
    <s v="Selena Gomez"/>
    <x v="23"/>
    <n v="206"/>
    <n v="150"/>
    <n v="111"/>
    <m/>
  </r>
  <r>
    <d v="2014-01-10T00:00:00"/>
    <s v="Reese Witherspoon"/>
    <x v="23"/>
    <n v="221"/>
    <n v="129"/>
    <n v="98"/>
    <m/>
  </r>
  <r>
    <d v="2015-01-09T00:00:00"/>
    <s v="Beyonce"/>
    <x v="23"/>
    <n v="187"/>
    <n v="144"/>
    <n v="133"/>
    <m/>
  </r>
  <r>
    <d v="2008-01-06T00:00:00"/>
    <s v="Sarah Jessica Parker"/>
    <x v="23"/>
    <n v="187"/>
    <n v="161"/>
    <n v="134"/>
    <m/>
  </r>
  <r>
    <d v="2007-01-05T00:00:00"/>
    <s v="Hilary Rhoda"/>
    <x v="23"/>
    <n v="195"/>
    <n v="150"/>
    <n v="126"/>
    <m/>
  </r>
  <r>
    <d v="2003-01-06T00:00:00"/>
    <s v="Reese Witherspoon"/>
    <x v="23"/>
    <n v="180"/>
    <n v="155"/>
    <n v="141"/>
    <m/>
  </r>
  <r>
    <d v="2018-01-08T00:00:00"/>
    <s v="Saoirse Ronan"/>
    <x v="23"/>
    <n v="202"/>
    <n v="163"/>
    <n v="120"/>
    <m/>
  </r>
  <r>
    <d v="2002-01-08T00:00:00"/>
    <s v="Jennifer Aniston"/>
    <x v="23"/>
    <n v="205"/>
    <n v="148"/>
    <n v="118"/>
    <m/>
  </r>
  <r>
    <d v="2009-01-08T00:00:00"/>
    <s v="Christy Turlington"/>
    <x v="23"/>
    <n v="184"/>
    <n v="156"/>
    <n v="139"/>
    <m/>
  </r>
  <r>
    <d v="2008-01-01T00:00:00"/>
    <s v="Kate Hudson"/>
    <x v="23"/>
    <n v="203"/>
    <n v="153"/>
    <n v="120"/>
    <m/>
  </r>
  <r>
    <d v="2014-01-09T00:00:00"/>
    <s v="Karlie Kloss"/>
    <x v="23"/>
    <n v="211"/>
    <n v="144"/>
    <n v="113"/>
    <m/>
  </r>
  <r>
    <d v="2015-01-12T00:00:00"/>
    <s v="Jennifer Lawrence"/>
    <x v="23"/>
    <n v="211"/>
    <n v="156"/>
    <n v="113"/>
    <m/>
  </r>
  <r>
    <d v="2008-01-03T00:00:00"/>
    <s v="Drew Barrymore"/>
    <x v="23"/>
    <n v="200"/>
    <n v="154"/>
    <n v="126"/>
    <m/>
  </r>
  <r>
    <d v="2010-01-09T00:00:00"/>
    <s v="Halle Berry"/>
    <x v="23"/>
    <n v="209"/>
    <n v="157"/>
    <n v="117"/>
    <m/>
  </r>
  <r>
    <d v="2014-01-08T00:00:00"/>
    <s v="Blake Lively"/>
    <x v="23"/>
    <n v="207"/>
    <n v="155"/>
    <n v="121"/>
    <m/>
  </r>
  <r>
    <d v="2003-01-07T00:00:00"/>
    <s v="Demi Moore"/>
    <x v="23"/>
    <n v="195"/>
    <n v="158"/>
    <n v="134"/>
    <m/>
  </r>
  <r>
    <d v="2015-01-03T00:00:00"/>
    <s v="Karlie Kloss"/>
    <x v="23"/>
    <n v="219"/>
    <n v="141"/>
    <n v="110"/>
    <m/>
  </r>
  <r>
    <d v="2017-01-10T00:00:00"/>
    <s v="Rooney Mara"/>
    <x v="23"/>
    <n v="195"/>
    <n v="153"/>
    <n v="135"/>
    <m/>
  </r>
  <r>
    <d v="2014-01-09T00:00:00"/>
    <s v="Arizona Muse"/>
    <x v="23"/>
    <n v="213"/>
    <n v="147"/>
    <n v="118"/>
    <m/>
  </r>
  <r>
    <d v="2009-01-01T00:00:00"/>
    <s v="Anne Hathaway"/>
    <x v="23"/>
    <n v="222"/>
    <n v="163"/>
    <n v="109"/>
    <m/>
  </r>
  <r>
    <d v="2015-01-03T00:00:00"/>
    <s v="Taylor Swift"/>
    <x v="23"/>
    <n v="221"/>
    <n v="143"/>
    <n v="110"/>
    <m/>
  </r>
  <r>
    <d v="2005-01-03T00:00:00"/>
    <s v="Sandra Bullock"/>
    <x v="23"/>
    <n v="215"/>
    <n v="162"/>
    <n v="116"/>
    <m/>
  </r>
  <r>
    <d v="2012-01-06T00:00:00"/>
    <s v="Hope Solo"/>
    <x v="23"/>
    <n v="205"/>
    <n v="161"/>
    <n v="130"/>
    <m/>
  </r>
  <r>
    <d v="2000-01-11T00:00:00"/>
    <s v="Maggie Rizer"/>
    <x v="23"/>
    <n v="211"/>
    <n v="168"/>
    <n v="125"/>
    <m/>
  </r>
  <r>
    <d v="2010-01-06T00:00:00"/>
    <s v="Blake Lively"/>
    <x v="23"/>
    <n v="213"/>
    <n v="162"/>
    <n v="124"/>
    <m/>
  </r>
  <r>
    <d v="2015-01-06T00:00:00"/>
    <s v="Amanda Seyfried"/>
    <x v="23"/>
    <n v="213"/>
    <n v="155"/>
    <n v="124"/>
    <m/>
  </r>
  <r>
    <d v="2003-01-12T00:00:00"/>
    <s v="Renee Zellweger"/>
    <x v="23"/>
    <n v="193"/>
    <n v="166"/>
    <n v="145"/>
    <m/>
  </r>
  <r>
    <d v="2000-01-04T00:00:00"/>
    <s v="Carolyn Murphy"/>
    <x v="23"/>
    <n v="223"/>
    <n v="157"/>
    <n v="115"/>
    <m/>
  </r>
  <r>
    <d v="2017-01-09T00:00:00"/>
    <s v="Jennifer Lawrence"/>
    <x v="23"/>
    <n v="193"/>
    <n v="153"/>
    <n v="146"/>
    <m/>
  </r>
  <r>
    <d v="2006-01-09T00:00:00"/>
    <s v="Kirsten Dunst"/>
    <x v="23"/>
    <n v="190"/>
    <n v="163"/>
    <n v="152"/>
    <m/>
  </r>
  <r>
    <d v="2010-01-05T00:00:00"/>
    <s v="Sarah Jessica Parker"/>
    <x v="23"/>
    <n v="215"/>
    <n v="168"/>
    <n v="127"/>
    <m/>
  </r>
  <r>
    <d v="2004-01-05T00:00:00"/>
    <s v="Nicole Kidman"/>
    <x v="23"/>
    <n v="208"/>
    <n v="164"/>
    <n v="134"/>
    <m/>
  </r>
  <r>
    <d v="2002-01-01T00:00:00"/>
    <s v="Julianne Moore"/>
    <x v="23"/>
    <n v="207"/>
    <n v="156"/>
    <n v="135"/>
    <m/>
  </r>
  <r>
    <d v="2003-01-09T00:00:00"/>
    <s v="Nicole Kidman"/>
    <x v="23"/>
    <n v="201"/>
    <n v="164"/>
    <n v="143"/>
    <m/>
  </r>
  <r>
    <d v="2005-01-08T00:00:00"/>
    <s v="Madonna"/>
    <x v="23"/>
    <n v="203"/>
    <n v="167"/>
    <n v="141"/>
    <m/>
  </r>
  <r>
    <d v="2006-01-01T00:00:00"/>
    <s v="Sienna Miller"/>
    <x v="23"/>
    <n v="205"/>
    <n v="170"/>
    <n v="139"/>
    <m/>
  </r>
  <r>
    <d v="2006-01-02T00:00:00"/>
    <s v="Drew Barrymore"/>
    <x v="23"/>
    <n v="218"/>
    <n v="169"/>
    <n v="126"/>
    <m/>
  </r>
  <r>
    <d v="2004-01-06T00:00:00"/>
    <s v="Kate Hudson"/>
    <x v="23"/>
    <n v="212"/>
    <n v="170"/>
    <n v="133"/>
    <m/>
  </r>
  <r>
    <d v="2006-01-12T00:00:00"/>
    <s v="Nicole Kidman"/>
    <x v="23"/>
    <n v="197"/>
    <n v="173"/>
    <n v="148"/>
    <m/>
  </r>
  <r>
    <d v="2007-01-09T00:00:00"/>
    <s v="Sienna Miller"/>
    <x v="23"/>
    <n v="205"/>
    <n v="162"/>
    <n v="141"/>
    <m/>
  </r>
  <r>
    <d v="2006-01-04T00:00:00"/>
    <s v="Jennifer Aniston"/>
    <x v="23"/>
    <n v="223"/>
    <n v="176"/>
    <n v="123"/>
    <m/>
  </r>
  <r>
    <d v="2001-01-08T00:00:00"/>
    <s v="Amber Valletta"/>
    <x v="23"/>
    <n v="201"/>
    <n v="165"/>
    <n v="148"/>
    <m/>
  </r>
  <r>
    <d v="2009-01-07T00:00:00"/>
    <s v="Sienna Miller"/>
    <x v="23"/>
    <n v="219"/>
    <n v="169"/>
    <n v="129"/>
    <m/>
  </r>
  <r>
    <d v="2005-01-11T00:00:00"/>
    <s v="Reese Witherspoon"/>
    <x v="23"/>
    <n v="204"/>
    <n v="167"/>
    <n v="144"/>
    <m/>
  </r>
  <r>
    <d v="2010-01-02T00:00:00"/>
    <s v="Jessica Biel"/>
    <x v="23"/>
    <n v="209"/>
    <n v="164"/>
    <n v="140"/>
    <m/>
  </r>
  <r>
    <d v="2013-01-06T00:00:00"/>
    <s v="Kate Upton"/>
    <x v="23"/>
    <n v="221"/>
    <n v="166"/>
    <n v="129"/>
    <m/>
  </r>
  <r>
    <d v="2000-01-02T00:00:00"/>
    <s v="Angela Lindvall"/>
    <x v="23"/>
    <n v="202"/>
    <n v="156"/>
    <n v="148"/>
    <m/>
  </r>
  <r>
    <d v="2005-01-10T00:00:00"/>
    <s v="Gwyneth Paltrow"/>
    <x v="23"/>
    <n v="220"/>
    <n v="171"/>
    <n v="130"/>
    <m/>
  </r>
  <r>
    <d v="2005-01-01T00:00:00"/>
    <s v="Jennifer Lopez"/>
    <x v="23"/>
    <n v="209"/>
    <n v="165"/>
    <n v="141"/>
    <m/>
  </r>
  <r>
    <d v="2015-01-01T00:00:00"/>
    <s v="Sienna Miller"/>
    <x v="23"/>
    <n v="220"/>
    <n v="164"/>
    <n v="132"/>
    <m/>
  </r>
  <r>
    <d v="2004-01-07T00:00:00"/>
    <s v="Kirsten Dunst"/>
    <x v="23"/>
    <n v="239"/>
    <n v="186"/>
    <n v="116"/>
    <m/>
  </r>
  <r>
    <d v="2011-01-05T00:00:00"/>
    <s v="Reese Witherspoon"/>
    <x v="23"/>
    <n v="211"/>
    <n v="177"/>
    <n v="146"/>
    <m/>
  </r>
  <r>
    <d v="2000-01-11T00:00:00"/>
    <s v="Angela Lindvall"/>
    <x v="23"/>
    <n v="219"/>
    <n v="175"/>
    <n v="139"/>
    <m/>
  </r>
  <r>
    <d v="2003-01-11T00:00:00"/>
    <s v="Uma Thurman"/>
    <x v="23"/>
    <n v="206"/>
    <n v="176"/>
    <n v="152"/>
    <m/>
  </r>
  <r>
    <d v="2007-01-01T00:00:00"/>
    <s v="Angelina Jolie"/>
    <x v="23"/>
    <n v="220"/>
    <n v="173"/>
    <n v="139"/>
    <m/>
  </r>
  <r>
    <d v="2001-01-11T00:00:00"/>
    <s v="Britney Spears"/>
    <x v="23"/>
    <n v="219"/>
    <n v="170"/>
    <n v="142"/>
    <m/>
  </r>
  <r>
    <d v="2015-01-08T00:00:00"/>
    <s v="Nicole Kidman"/>
    <x v="23"/>
    <n v="219"/>
    <n v="170"/>
    <n v="141"/>
    <m/>
  </r>
  <r>
    <d v="2000-01-11T00:00:00"/>
    <s v="Frankie Rayder"/>
    <x v="23"/>
    <n v="220"/>
    <n v="176"/>
    <n v="141"/>
    <m/>
  </r>
  <r>
    <d v="2012-01-07T00:00:00"/>
    <s v="Emma Stone"/>
    <x v="23"/>
    <n v="229"/>
    <n v="177"/>
    <n v="134"/>
    <m/>
  </r>
  <r>
    <d v="2017-01-06T00:00:00"/>
    <s v="Elle Fanning"/>
    <x v="23"/>
    <n v="210"/>
    <n v="169"/>
    <n v="153"/>
    <m/>
  </r>
  <r>
    <d v="2001-01-04T00:00:00"/>
    <s v="Renee Zellweger"/>
    <x v="23"/>
    <n v="218"/>
    <n v="173"/>
    <n v="145"/>
    <m/>
  </r>
  <r>
    <d v="2013-01-10T00:00:00"/>
    <s v="Sandra Bullock"/>
    <x v="23"/>
    <n v="216"/>
    <n v="163"/>
    <n v="149"/>
    <m/>
  </r>
  <r>
    <d v="2006-01-07T00:00:00"/>
    <s v="Kate Hudson"/>
    <x v="23"/>
    <n v="213"/>
    <n v="179"/>
    <n v="153"/>
    <m/>
  </r>
  <r>
    <d v="2002-01-07T00:00:00"/>
    <s v="Amber Valletta"/>
    <x v="23"/>
    <n v="204"/>
    <n v="170"/>
    <n v="162"/>
    <m/>
  </r>
  <r>
    <d v="2017-01-12T00:00:00"/>
    <s v="Meryl Streep"/>
    <x v="23"/>
    <n v="229"/>
    <n v="176"/>
    <n v="137"/>
    <m/>
  </r>
  <r>
    <d v="2005-01-09T00:00:00"/>
    <s v="Sarah Jessica Parker"/>
    <x v="23"/>
    <n v="220"/>
    <n v="183"/>
    <n v="147"/>
    <m/>
  </r>
  <r>
    <d v="2012-01-01T00:00:00"/>
    <s v="Meryl Streep"/>
    <x v="23"/>
    <n v="211"/>
    <n v="182"/>
    <n v="157"/>
    <m/>
  </r>
  <r>
    <d v="2012-01-05T00:00:00"/>
    <s v="Scarlett Johansson"/>
    <x v="23"/>
    <n v="214"/>
    <n v="171"/>
    <n v="154"/>
    <m/>
  </r>
  <r>
    <d v="2015-01-11T00:00:00"/>
    <s v="Angelina Jolie"/>
    <x v="23"/>
    <n v="218"/>
    <n v="166"/>
    <n v="151"/>
    <m/>
  </r>
  <r>
    <d v="2004-01-08T00:00:00"/>
    <s v="Lisa-Marie Presley"/>
    <x v="23"/>
    <n v="210"/>
    <n v="181"/>
    <n v="159"/>
    <m/>
  </r>
  <r>
    <d v="2016-01-09T00:00:00"/>
    <s v="Kendall Jenner"/>
    <x v="23"/>
    <n v="230"/>
    <n v="160"/>
    <n v="139"/>
    <m/>
  </r>
  <r>
    <d v="2000-01-09T00:00:00"/>
    <s v="Bridget Hall"/>
    <x v="23"/>
    <n v="222"/>
    <n v="172"/>
    <n v="148"/>
    <m/>
  </r>
  <r>
    <d v="2007-01-08T00:00:00"/>
    <s v="Winona Ryder"/>
    <x v="23"/>
    <n v="206"/>
    <n v="175"/>
    <n v="164"/>
    <m/>
  </r>
  <r>
    <d v="2013-01-01T00:00:00"/>
    <s v="Gwen Stefani"/>
    <x v="23"/>
    <n v="221"/>
    <n v="188"/>
    <n v="151"/>
    <m/>
  </r>
  <r>
    <d v="2011-01-02T00:00:00"/>
    <s v="Kristen Stewart"/>
    <x v="23"/>
    <n v="214"/>
    <n v="183"/>
    <n v="158"/>
    <m/>
  </r>
  <r>
    <d v="2004-01-11T00:00:00"/>
    <s v="Jennifer Connelly"/>
    <x v="23"/>
    <n v="221"/>
    <n v="186"/>
    <n v="151"/>
    <m/>
  </r>
  <r>
    <d v="2010-01-08T00:00:00"/>
    <s v="Gwyneth Paltrow"/>
    <x v="23"/>
    <n v="221"/>
    <n v="189"/>
    <n v="154"/>
    <m/>
  </r>
  <r>
    <d v="2014-01-04T00:00:00"/>
    <s v="Kim Kardashian"/>
    <x v="23"/>
    <n v="225"/>
    <n v="178"/>
    <n v="151"/>
    <m/>
  </r>
  <r>
    <d v="2002-01-04T00:00:00"/>
    <s v="Angelina Jolie"/>
    <x v="23"/>
    <n v="216"/>
    <n v="179"/>
    <n v="160"/>
    <m/>
  </r>
  <r>
    <d v="2016-01-05T00:00:00"/>
    <s v="Taylor Swift"/>
    <x v="23"/>
    <n v="223"/>
    <n v="175"/>
    <n v="154"/>
    <m/>
  </r>
  <r>
    <d v="2002-01-09T00:00:00"/>
    <s v="Kate Hudson"/>
    <x v="23"/>
    <n v="216"/>
    <n v="181"/>
    <n v="161"/>
    <m/>
  </r>
  <r>
    <d v="2017-01-02T00:00:00"/>
    <s v="Dakota Johnson"/>
    <x v="23"/>
    <n v="225"/>
    <n v="168"/>
    <n v="153"/>
    <m/>
  </r>
  <r>
    <d v="2011-01-11T00:00:00"/>
    <s v="Rooney Mara"/>
    <x v="23"/>
    <n v="209"/>
    <n v="182"/>
    <n v="171"/>
    <m/>
  </r>
  <r>
    <d v="2002-01-11T00:00:00"/>
    <s v="Renee Zellweger"/>
    <x v="23"/>
    <n v="215"/>
    <n v="181"/>
    <n v="166"/>
    <m/>
  </r>
  <r>
    <d v="2003-01-03T00:00:00"/>
    <s v="Julianne Moore"/>
    <x v="23"/>
    <n v="213"/>
    <n v="182"/>
    <n v="171"/>
    <m/>
  </r>
  <r>
    <d v="2016-01-07T00:00:00"/>
    <s v="Amy Schumer"/>
    <x v="23"/>
    <n v="228"/>
    <n v="189"/>
    <n v="157"/>
    <m/>
  </r>
  <r>
    <d v="2004-01-08T00:00:00"/>
    <s v="Riley Keough"/>
    <x v="23"/>
    <n v="213"/>
    <n v="187"/>
    <n v="172"/>
    <m/>
  </r>
  <r>
    <d v="2015-01-02T00:00:00"/>
    <s v="Dakota Johnson"/>
    <x v="23"/>
    <n v="243"/>
    <n v="172"/>
    <n v="146"/>
    <m/>
  </r>
  <r>
    <d v="2012-01-02T00:00:00"/>
    <s v="Taylor Swift"/>
    <x v="23"/>
    <n v="220"/>
    <n v="192"/>
    <n v="172"/>
    <m/>
  </r>
  <r>
    <d v="2004-01-08T00:00:00"/>
    <s v="Priscilla Presley"/>
    <x v="23"/>
    <n v="212"/>
    <n v="192"/>
    <n v="181"/>
    <m/>
  </r>
  <r>
    <d v="2005-01-04T00:00:00"/>
    <s v="Drew Barrymore"/>
    <x v="23"/>
    <n v="220"/>
    <n v="196"/>
    <n v="173"/>
    <m/>
  </r>
  <r>
    <d v="2008-01-07T00:00:00"/>
    <s v="Nicole Kidman"/>
    <x v="23"/>
    <n v="220"/>
    <n v="197"/>
    <n v="173"/>
    <m/>
  </r>
  <r>
    <d v="2013-01-09T00:00:00"/>
    <s v="Jennifer Lawrence"/>
    <x v="23"/>
    <n v="236"/>
    <n v="188"/>
    <n v="158"/>
    <m/>
  </r>
  <r>
    <d v="2014-01-02T00:00:00"/>
    <s v="Lena Dunham"/>
    <x v="23"/>
    <n v="224"/>
    <n v="193"/>
    <n v="172"/>
    <m/>
  </r>
  <r>
    <d v="2017-01-05T00:00:00"/>
    <s v="Katy Perry"/>
    <x v="23"/>
    <n v="231"/>
    <n v="189"/>
    <n v="167"/>
    <m/>
  </r>
  <r>
    <d v="2011-01-10T00:00:00"/>
    <s v="Michelle Williams"/>
    <x v="23"/>
    <n v="213"/>
    <n v="203"/>
    <n v="187"/>
    <m/>
  </r>
  <r>
    <d v="2007-01-11T00:00:00"/>
    <s v="Jennifer Connelly"/>
    <x v="23"/>
    <n v="232"/>
    <n v="197"/>
    <n v="170"/>
    <m/>
  </r>
  <r>
    <d v="2009-01-10T00:00:00"/>
    <s v="Michelle Williams"/>
    <x v="23"/>
    <n v="229"/>
    <n v="203"/>
    <n v="173"/>
    <m/>
  </r>
  <r>
    <d v="2013-01-08T00:00:00"/>
    <s v="Claire Danes"/>
    <x v="23"/>
    <n v="239"/>
    <n v="197"/>
    <n v="164"/>
    <m/>
  </r>
  <r>
    <d v="2016-01-11T00:00:00"/>
    <s v="Emma Stone"/>
    <x v="23"/>
    <n v="231"/>
    <n v="194"/>
    <n v="178"/>
    <m/>
  </r>
  <r>
    <d v="2011-01-03T00:00:00"/>
    <s v="Lady Gaga"/>
    <x v="23"/>
    <n v="224"/>
    <n v="201"/>
    <n v="185"/>
    <m/>
  </r>
  <r>
    <d v="2014-01-05T00:00:00"/>
    <s v="Emma Stone"/>
    <x v="23"/>
    <n v="230"/>
    <n v="189"/>
    <n v="180"/>
    <m/>
  </r>
  <r>
    <d v="2008-01-05T00:00:00"/>
    <s v="Gwyneth Paltrow"/>
    <x v="23"/>
    <n v="224"/>
    <n v="196"/>
    <n v="186"/>
    <m/>
  </r>
  <r>
    <d v="2018-01-10T00:00:00"/>
    <s v="Lady Gaga"/>
    <x v="23"/>
    <n v="221"/>
    <n v="202"/>
    <n v="192"/>
    <m/>
  </r>
  <r>
    <d v="2013-01-02T00:00:00"/>
    <s v="Rooney Mara"/>
    <x v="23"/>
    <n v="237"/>
    <n v="200"/>
    <n v="180"/>
    <m/>
  </r>
  <r>
    <d v="2000-01-12T00:00:00"/>
    <s v="Nicole Kidman"/>
    <x v="23"/>
    <n v="218"/>
    <n v="207"/>
    <n v="199"/>
    <m/>
  </r>
  <r>
    <d v="2013-01-07T00:00:00"/>
    <s v="Katy Perry"/>
    <x v="23"/>
    <n v="237"/>
    <n v="202"/>
    <n v="181"/>
    <m/>
  </r>
  <r>
    <d v="2018-01-04T00:00:00"/>
    <s v="Kendall Jenner"/>
    <x v="23"/>
    <n v="231"/>
    <n v="205"/>
    <n v="188"/>
    <m/>
  </r>
  <r>
    <d v="2012-01-12T00:00:00"/>
    <s v="Anne Hathaway"/>
    <x v="23"/>
    <n v="235"/>
    <n v="209"/>
    <n v="189"/>
    <m/>
  </r>
  <r>
    <d v="2012-01-09T00:00:00"/>
    <s v="Lady Gaga"/>
    <x v="23"/>
    <n v="226"/>
    <n v="209"/>
    <n v="199"/>
    <m/>
  </r>
  <r>
    <d v="2013-01-12T00:00:00"/>
    <s v="Jessica Chastain"/>
    <x v="23"/>
    <n v="248"/>
    <n v="210"/>
    <n v="190"/>
    <m/>
  </r>
  <r>
    <d v="2010-01-11T00:00:00"/>
    <s v="Anne Hathaway"/>
    <x v="23"/>
    <n v="246"/>
    <n v="217"/>
    <n v="20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1BE564-8A7B-3449-A11E-5F9E9A9F5FBA}" name="PivotTable3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N4:Q29" firstHeaderRow="0" firstDataRow="1" firstDataCol="1"/>
  <pivotFields count="7">
    <pivotField numFmtId="14" showAll="0"/>
    <pivotField showAll="0"/>
    <pivotField axis="axisRow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27"/>
        <item x="12"/>
        <item x="13"/>
        <item x="14"/>
        <item x="15"/>
        <item m="1" x="24"/>
        <item x="16"/>
        <item x="17"/>
        <item x="18"/>
        <item x="19"/>
        <item m="1" x="26"/>
        <item x="20"/>
        <item x="21"/>
        <item x="22"/>
        <item x="23"/>
        <item m="1" x="25"/>
        <item t="default"/>
      </items>
    </pivotField>
    <pivotField dataField="1" showAll="0"/>
    <pivotField dataField="1" showAll="0"/>
    <pivotField dataField="1" showAll="0"/>
    <pivotField showAll="0"/>
  </pivotFields>
  <rowFields count="1">
    <field x="2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R" fld="3" subtotal="average" baseField="0" baseItem="0"/>
    <dataField name="Average of G" fld="4" subtotal="average" baseField="0" baseItem="0"/>
    <dataField name="Average of B" fld="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5"/>
  <sheetViews>
    <sheetView workbookViewId="0">
      <selection activeCell="A25" sqref="A2:A25"/>
    </sheetView>
  </sheetViews>
  <sheetFormatPr baseColWidth="10" defaultRowHeight="16" x14ac:dyDescent="0.2"/>
  <cols>
    <col min="1" max="1" width="22.1640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1254</v>
      </c>
      <c r="E1" t="s">
        <v>1255</v>
      </c>
    </row>
    <row r="2" spans="1:5" x14ac:dyDescent="0.2">
      <c r="A2" t="s">
        <v>3</v>
      </c>
      <c r="B2">
        <v>2</v>
      </c>
      <c r="C2" s="1">
        <v>1.6E-2</v>
      </c>
      <c r="D2" s="4" t="str">
        <f>VLOOKUP(A2,latlong_countries!B:D,2,FALSE)</f>
        <v>-25.274398</v>
      </c>
      <c r="E2" s="6" t="str">
        <f>VLOOKUP(A2,latlong_countries!B:E,3,FALSE)</f>
        <v>133.775136</v>
      </c>
    </row>
    <row r="3" spans="1:5" x14ac:dyDescent="0.2">
      <c r="A3" t="s">
        <v>4</v>
      </c>
      <c r="B3">
        <v>1</v>
      </c>
      <c r="C3" s="1">
        <v>8.0000000000000002E-3</v>
      </c>
      <c r="D3" s="4" t="str">
        <f>VLOOKUP(A3,latlong_countries!B:D,2,FALSE)</f>
        <v>13.193887</v>
      </c>
      <c r="E3" s="6" t="str">
        <f>VLOOKUP(A3,latlong_countries!B:E,3,FALSE)</f>
        <v>-59.543198</v>
      </c>
    </row>
    <row r="4" spans="1:5" x14ac:dyDescent="0.2">
      <c r="A4" t="s">
        <v>5</v>
      </c>
      <c r="B4">
        <v>2</v>
      </c>
      <c r="C4" s="1">
        <v>1.6E-2</v>
      </c>
      <c r="D4" s="4" t="str">
        <f>VLOOKUP(A4,latlong_countries!B:D,2,FALSE)</f>
        <v>-14.235004</v>
      </c>
      <c r="E4" s="6" t="str">
        <f>VLOOKUP(A4,latlong_countries!B:E,3,FALSE)</f>
        <v>-51.92528</v>
      </c>
    </row>
    <row r="5" spans="1:5" x14ac:dyDescent="0.2">
      <c r="A5" t="s">
        <v>6</v>
      </c>
      <c r="B5">
        <v>2</v>
      </c>
      <c r="C5" s="1">
        <v>1.6E-2</v>
      </c>
      <c r="D5" s="4" t="str">
        <f>VLOOKUP(A5,latlong_countries!B:D,2,FALSE)</f>
        <v>56.130366</v>
      </c>
      <c r="E5" s="6" t="str">
        <f>VLOOKUP(A5,latlong_countries!B:E,3,FALSE)</f>
        <v>-106.346771</v>
      </c>
    </row>
    <row r="6" spans="1:5" x14ac:dyDescent="0.2">
      <c r="A6" t="s">
        <v>7</v>
      </c>
      <c r="B6">
        <v>2</v>
      </c>
      <c r="C6" s="1">
        <v>1.6E-2</v>
      </c>
      <c r="D6" s="4" t="str">
        <f>VLOOKUP(A6,latlong_countries!B:D,2,FALSE)</f>
        <v>35.86166</v>
      </c>
      <c r="E6" s="6" t="str">
        <f>VLOOKUP(A6,latlong_countries!B:E,3,FALSE)</f>
        <v>104.195397</v>
      </c>
    </row>
    <row r="7" spans="1:5" x14ac:dyDescent="0.2">
      <c r="A7" t="s">
        <v>8</v>
      </c>
      <c r="B7">
        <v>1</v>
      </c>
      <c r="C7" s="1">
        <v>8.0000000000000002E-3</v>
      </c>
      <c r="D7" s="4" t="str">
        <f>VLOOKUP(A7,latlong_countries!B:D,2,FALSE)</f>
        <v>49.817492</v>
      </c>
      <c r="E7" s="6" t="str">
        <f>VLOOKUP(A7,latlong_countries!B:E,3,FALSE)</f>
        <v>15.472962</v>
      </c>
    </row>
    <row r="8" spans="1:5" x14ac:dyDescent="0.2">
      <c r="A8" t="s">
        <v>9</v>
      </c>
      <c r="B8">
        <v>1</v>
      </c>
      <c r="C8" s="1">
        <v>8.0000000000000002E-3</v>
      </c>
      <c r="D8" s="4" t="str">
        <f>VLOOKUP(A8,latlong_countries!B:D,2,FALSE)</f>
        <v>58.595272</v>
      </c>
      <c r="E8" s="6" t="str">
        <f>VLOOKUP(A8,latlong_countries!B:E,3,FALSE)</f>
        <v>25.013607</v>
      </c>
    </row>
    <row r="9" spans="1:5" x14ac:dyDescent="0.2">
      <c r="A9" t="s">
        <v>10</v>
      </c>
      <c r="B9">
        <v>2</v>
      </c>
      <c r="C9" s="1">
        <v>1.6E-2</v>
      </c>
      <c r="D9" s="4" t="str">
        <f>VLOOKUP(A9,latlong_countries!B:D,2,FALSE)</f>
        <v>9.145</v>
      </c>
      <c r="E9" s="6" t="str">
        <f>VLOOKUP(A9,latlong_countries!B:E,3,FALSE)</f>
        <v>40.489673</v>
      </c>
    </row>
    <row r="10" spans="1:5" x14ac:dyDescent="0.2">
      <c r="A10" t="s">
        <v>11</v>
      </c>
      <c r="B10">
        <v>2</v>
      </c>
      <c r="C10" s="1">
        <v>1.6E-2</v>
      </c>
      <c r="D10" s="4" t="str">
        <f>VLOOKUP(A10,latlong_countries!B:D,2,FALSE)</f>
        <v>46.227638</v>
      </c>
      <c r="E10" s="6" t="str">
        <f>VLOOKUP(A10,latlong_countries!B:E,3,FALSE)</f>
        <v>2.213749</v>
      </c>
    </row>
    <row r="11" spans="1:5" x14ac:dyDescent="0.2">
      <c r="A11" t="s">
        <v>12</v>
      </c>
      <c r="B11">
        <v>1</v>
      </c>
      <c r="C11" s="1">
        <v>8.0000000000000002E-3</v>
      </c>
      <c r="D11" s="4" t="str">
        <f>VLOOKUP(A11,latlong_countries!B:D,2,FALSE)</f>
        <v>47.162494</v>
      </c>
      <c r="E11" s="6" t="str">
        <f>VLOOKUP(A11,latlong_countries!B:E,3,FALSE)</f>
        <v>19.503304</v>
      </c>
    </row>
    <row r="12" spans="1:5" x14ac:dyDescent="0.2">
      <c r="A12" t="s">
        <v>13</v>
      </c>
      <c r="B12">
        <v>1</v>
      </c>
      <c r="C12" s="1">
        <v>8.0000000000000002E-3</v>
      </c>
      <c r="D12" s="4" t="str">
        <f>VLOOKUP(A12,latlong_countries!B:D,2,FALSE)</f>
        <v>31.046051</v>
      </c>
      <c r="E12" s="6" t="str">
        <f>VLOOKUP(A12,latlong_countries!B:E,3,FALSE)</f>
        <v>34.851612</v>
      </c>
    </row>
    <row r="13" spans="1:5" x14ac:dyDescent="0.2">
      <c r="A13" t="s">
        <v>14</v>
      </c>
      <c r="B13">
        <v>2</v>
      </c>
      <c r="C13" s="1">
        <v>1.6E-2</v>
      </c>
      <c r="D13" s="4" t="str">
        <f>VLOOKUP(A13,latlong_countries!B:D,2,FALSE)</f>
        <v>41.87194</v>
      </c>
      <c r="E13" s="6" t="str">
        <f>VLOOKUP(A13,latlong_countries!B:E,3,FALSE)</f>
        <v>12.56738</v>
      </c>
    </row>
    <row r="14" spans="1:5" x14ac:dyDescent="0.2">
      <c r="A14" t="s">
        <v>15</v>
      </c>
      <c r="B14">
        <v>1</v>
      </c>
      <c r="C14" s="1">
        <v>8.0000000000000002E-3</v>
      </c>
      <c r="D14" s="4" t="str">
        <f>VLOOKUP(A14,latlong_countries!B:D,2,FALSE)</f>
        <v>33.854721</v>
      </c>
      <c r="E14" s="6" t="str">
        <f>VLOOKUP(A14,latlong_countries!B:E,3,FALSE)</f>
        <v>35.862285</v>
      </c>
    </row>
    <row r="15" spans="1:5" x14ac:dyDescent="0.2">
      <c r="A15" t="s">
        <v>16</v>
      </c>
      <c r="B15">
        <v>2</v>
      </c>
      <c r="C15" s="1">
        <v>1.6E-2</v>
      </c>
      <c r="D15" s="4" t="str">
        <f>VLOOKUP(A15,latlong_countries!B:D,2,FALSE)</f>
        <v>23.634501</v>
      </c>
      <c r="E15" s="6" t="str">
        <f>VLOOKUP(A15,latlong_countries!B:E,3,FALSE)</f>
        <v>-102.552784</v>
      </c>
    </row>
    <row r="16" spans="1:5" x14ac:dyDescent="0.2">
      <c r="A16" t="s">
        <v>17</v>
      </c>
      <c r="B16">
        <v>2</v>
      </c>
      <c r="C16" s="1">
        <v>1.6E-2</v>
      </c>
      <c r="D16" s="4" t="str">
        <f>VLOOKUP(A16,latlong_countries!B:D,2,FALSE)</f>
        <v>52.132633</v>
      </c>
      <c r="E16" s="6" t="str">
        <f>VLOOKUP(A16,latlong_countries!B:E,3,FALSE)</f>
        <v>5.291266</v>
      </c>
    </row>
    <row r="17" spans="1:5" x14ac:dyDescent="0.2">
      <c r="A17" t="s">
        <v>18</v>
      </c>
      <c r="B17">
        <v>2</v>
      </c>
      <c r="C17" s="1">
        <v>1.6E-2</v>
      </c>
      <c r="D17" s="4" t="str">
        <f>VLOOKUP(A17,latlong_countries!B:D,2,FALSE)</f>
        <v>51.919438</v>
      </c>
      <c r="E17" s="6" t="str">
        <f>VLOOKUP(A17,latlong_countries!B:E,3,FALSE)</f>
        <v>19.145136</v>
      </c>
    </row>
    <row r="18" spans="1:5" x14ac:dyDescent="0.2">
      <c r="A18" t="s">
        <v>19</v>
      </c>
      <c r="B18">
        <v>1</v>
      </c>
      <c r="C18" s="1">
        <v>8.0000000000000002E-3</v>
      </c>
      <c r="D18" s="4" t="str">
        <f>VLOOKUP(A18,latlong_countries!B:D,2,FALSE)</f>
        <v>45.943161</v>
      </c>
      <c r="E18" s="6" t="str">
        <f>VLOOKUP(A18,latlong_countries!B:E,3,FALSE)</f>
        <v>24.96676</v>
      </c>
    </row>
    <row r="19" spans="1:5" x14ac:dyDescent="0.2">
      <c r="A19" t="s">
        <v>20</v>
      </c>
      <c r="B19">
        <v>2</v>
      </c>
      <c r="C19" s="1">
        <v>1.6E-2</v>
      </c>
      <c r="D19" s="4" t="s">
        <v>1029</v>
      </c>
      <c r="E19" s="6" t="s">
        <v>1030</v>
      </c>
    </row>
    <row r="20" spans="1:5" x14ac:dyDescent="0.2">
      <c r="A20" t="s">
        <v>21</v>
      </c>
      <c r="B20">
        <v>1</v>
      </c>
      <c r="C20" s="1">
        <v>8.0000000000000002E-3</v>
      </c>
      <c r="D20" s="4" t="str">
        <f>VLOOKUP(A20,latlong_countries!B:D,2,FALSE)</f>
        <v>46.151241</v>
      </c>
      <c r="E20" s="6" t="str">
        <f>VLOOKUP(A20,latlong_countries!B:E,3,FALSE)</f>
        <v>14.995463</v>
      </c>
    </row>
    <row r="21" spans="1:5" x14ac:dyDescent="0.2">
      <c r="A21" t="s">
        <v>22</v>
      </c>
      <c r="B21">
        <v>1</v>
      </c>
      <c r="C21" s="1">
        <v>8.0000000000000002E-3</v>
      </c>
      <c r="D21" s="4" t="str">
        <f>VLOOKUP(A21,latlong_countries!B:D,2,FALSE)</f>
        <v>-30.559482</v>
      </c>
      <c r="E21" s="6" t="str">
        <f>VLOOKUP(A21,latlong_countries!B:E,3,FALSE)</f>
        <v>22.937506</v>
      </c>
    </row>
    <row r="22" spans="1:5" x14ac:dyDescent="0.2">
      <c r="A22" t="s">
        <v>23</v>
      </c>
      <c r="B22">
        <v>1</v>
      </c>
      <c r="C22" s="1">
        <v>8.0000000000000002E-3</v>
      </c>
      <c r="D22" s="4" t="str">
        <f>VLOOKUP(A22,latlong_countries!B:D,2,FALSE)</f>
        <v>40.463667</v>
      </c>
      <c r="E22" s="6" t="str">
        <f>VLOOKUP(A22,latlong_countries!B:E,3,FALSE)</f>
        <v>-3.74922</v>
      </c>
    </row>
    <row r="23" spans="1:5" x14ac:dyDescent="0.2">
      <c r="A23" t="s">
        <v>24</v>
      </c>
      <c r="B23">
        <v>1</v>
      </c>
      <c r="C23" s="1">
        <v>8.0000000000000002E-3</v>
      </c>
      <c r="D23" s="4" t="str">
        <f>VLOOKUP(A23,latlong_countries!B:D,2,FALSE)</f>
        <v>60.128161</v>
      </c>
      <c r="E23" s="6" t="str">
        <f>VLOOKUP(A23,latlong_countries!B:E,3,FALSE)</f>
        <v>18.643501</v>
      </c>
    </row>
    <row r="24" spans="1:5" x14ac:dyDescent="0.2">
      <c r="A24" t="s">
        <v>25</v>
      </c>
      <c r="B24">
        <v>14</v>
      </c>
      <c r="C24" s="1">
        <v>0.114</v>
      </c>
      <c r="D24" s="4" t="str">
        <f>VLOOKUP(A24,latlong_countries!B:D,2,FALSE)</f>
        <v>55.378051</v>
      </c>
      <c r="E24" s="6" t="str">
        <f>VLOOKUP(A24,latlong_countries!B:E,3,FALSE)</f>
        <v>-3.435973</v>
      </c>
    </row>
    <row r="25" spans="1:5" ht="18" x14ac:dyDescent="0.2">
      <c r="A25" t="s">
        <v>26</v>
      </c>
      <c r="B25">
        <v>76</v>
      </c>
      <c r="C25" s="1">
        <v>0.61799999999999999</v>
      </c>
      <c r="D25" s="8" t="s">
        <v>1185</v>
      </c>
      <c r="E25" s="8" t="s">
        <v>1186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AED6F-1825-2E48-B7C1-2EA3C5846713}">
  <sheetPr codeName="Sheet5"/>
  <dimension ref="A1:R263"/>
  <sheetViews>
    <sheetView topLeftCell="E4" workbookViewId="0">
      <selection activeCell="O4" sqref="O4:R27"/>
    </sheetView>
  </sheetViews>
  <sheetFormatPr baseColWidth="10" defaultRowHeight="16" x14ac:dyDescent="0.2"/>
  <cols>
    <col min="4" max="4" width="22.1640625" bestFit="1" customWidth="1"/>
    <col min="7" max="7" width="15.6640625" customWidth="1"/>
    <col min="14" max="14" width="22.1640625" bestFit="1" customWidth="1"/>
    <col min="15" max="17" width="12.1640625" bestFit="1" customWidth="1"/>
  </cols>
  <sheetData>
    <row r="1" spans="1:18" x14ac:dyDescent="0.2">
      <c r="B1" t="s">
        <v>27</v>
      </c>
      <c r="C1" t="s">
        <v>1</v>
      </c>
      <c r="D1" t="s">
        <v>28</v>
      </c>
      <c r="E1" t="s">
        <v>32</v>
      </c>
      <c r="F1" t="s">
        <v>33</v>
      </c>
      <c r="G1" t="s">
        <v>34</v>
      </c>
      <c r="H1">
        <v>47</v>
      </c>
    </row>
    <row r="2" spans="1:18" x14ac:dyDescent="0.2">
      <c r="A2">
        <v>88</v>
      </c>
      <c r="B2" s="2">
        <v>42375</v>
      </c>
      <c r="C2" t="s">
        <v>41</v>
      </c>
      <c r="D2" t="s">
        <v>3</v>
      </c>
      <c r="E2">
        <v>210</v>
      </c>
      <c r="F2">
        <v>159</v>
      </c>
      <c r="G2">
        <v>114</v>
      </c>
    </row>
    <row r="3" spans="1:18" x14ac:dyDescent="0.2">
      <c r="A3">
        <v>91</v>
      </c>
      <c r="B3" s="2">
        <v>39825</v>
      </c>
      <c r="C3" t="s">
        <v>40</v>
      </c>
      <c r="D3" t="s">
        <v>3</v>
      </c>
      <c r="E3">
        <v>187</v>
      </c>
      <c r="F3">
        <v>158</v>
      </c>
      <c r="G3">
        <v>137</v>
      </c>
    </row>
    <row r="4" spans="1:18" x14ac:dyDescent="0.2">
      <c r="A4">
        <v>111</v>
      </c>
      <c r="B4" s="2">
        <v>38728</v>
      </c>
      <c r="C4" t="s">
        <v>40</v>
      </c>
      <c r="D4" t="s">
        <v>3</v>
      </c>
      <c r="E4">
        <v>181</v>
      </c>
      <c r="F4">
        <v>165</v>
      </c>
      <c r="G4">
        <v>151</v>
      </c>
      <c r="N4" s="3" t="s">
        <v>260</v>
      </c>
      <c r="O4" t="s">
        <v>296</v>
      </c>
      <c r="P4" t="s">
        <v>295</v>
      </c>
      <c r="Q4" t="s">
        <v>294</v>
      </c>
    </row>
    <row r="5" spans="1:18" x14ac:dyDescent="0.2">
      <c r="A5">
        <v>151</v>
      </c>
      <c r="B5" s="2">
        <v>37998</v>
      </c>
      <c r="C5" t="s">
        <v>40</v>
      </c>
      <c r="D5" t="s">
        <v>3</v>
      </c>
      <c r="E5">
        <v>189</v>
      </c>
      <c r="F5">
        <v>172</v>
      </c>
      <c r="G5">
        <v>158</v>
      </c>
      <c r="N5" s="4" t="s">
        <v>3</v>
      </c>
      <c r="O5" s="5">
        <v>200.66666666666666</v>
      </c>
      <c r="P5" s="5">
        <v>167</v>
      </c>
      <c r="Q5" s="5">
        <v>143.66666666666666</v>
      </c>
      <c r="R5" s="6" t="str" cm="1">
        <f t="array" ref="R5">GetHexFromRGB(O5,P5,Q5)</f>
        <v>#C9A790</v>
      </c>
    </row>
    <row r="6" spans="1:18" x14ac:dyDescent="0.2">
      <c r="A6">
        <v>187</v>
      </c>
      <c r="B6" s="2">
        <v>36532</v>
      </c>
      <c r="C6" t="s">
        <v>40</v>
      </c>
      <c r="D6" t="s">
        <v>3</v>
      </c>
      <c r="E6">
        <v>217</v>
      </c>
      <c r="F6">
        <v>174</v>
      </c>
      <c r="G6">
        <v>151</v>
      </c>
      <c r="N6" s="4" t="s">
        <v>4</v>
      </c>
      <c r="O6" s="5">
        <v>199.4</v>
      </c>
      <c r="P6" s="5">
        <v>142.6</v>
      </c>
      <c r="Q6" s="5">
        <v>114.4</v>
      </c>
      <c r="R6" s="6" t="str" cm="1">
        <f t="array" ref="R6">GetHexFromRGB(O6,P6,Q6)</f>
        <v>#C78F72</v>
      </c>
    </row>
    <row r="7" spans="1:18" x14ac:dyDescent="0.2">
      <c r="A7">
        <v>199</v>
      </c>
      <c r="B7" s="2">
        <v>41640</v>
      </c>
      <c r="C7" t="s">
        <v>40</v>
      </c>
      <c r="D7" t="s">
        <v>3</v>
      </c>
      <c r="E7">
        <v>220</v>
      </c>
      <c r="F7">
        <v>174</v>
      </c>
      <c r="G7">
        <v>151</v>
      </c>
      <c r="N7" s="4" t="s">
        <v>5</v>
      </c>
      <c r="O7" s="5">
        <v>208.8</v>
      </c>
      <c r="P7" s="5">
        <v>158.6</v>
      </c>
      <c r="Q7" s="5">
        <v>128.9</v>
      </c>
      <c r="R7" s="6" t="str" cm="1">
        <f t="array" ref="R7">GetHexFromRGB(O7,P7,Q7)</f>
        <v>#D19F81</v>
      </c>
    </row>
    <row r="8" spans="1:18" x14ac:dyDescent="0.2">
      <c r="A8">
        <v>14</v>
      </c>
      <c r="B8" s="2">
        <v>42373</v>
      </c>
      <c r="C8" t="s">
        <v>46</v>
      </c>
      <c r="D8" t="s">
        <v>4</v>
      </c>
      <c r="E8">
        <v>156</v>
      </c>
      <c r="F8">
        <v>106</v>
      </c>
      <c r="G8">
        <v>89</v>
      </c>
      <c r="N8" s="4" t="s">
        <v>6</v>
      </c>
      <c r="O8" s="5">
        <v>206</v>
      </c>
      <c r="P8" s="5">
        <v>164.66666666666666</v>
      </c>
      <c r="Q8" s="5">
        <v>142.66666666666666</v>
      </c>
      <c r="R8" s="6" t="str" cm="1">
        <f t="array" ref="R8">GetHexFromRGB(O8,P8,Q8)</f>
        <v>#CEA58F</v>
      </c>
    </row>
    <row r="9" spans="1:18" x14ac:dyDescent="0.2">
      <c r="A9">
        <v>17</v>
      </c>
      <c r="B9" s="2">
        <v>43106</v>
      </c>
      <c r="C9" t="s">
        <v>46</v>
      </c>
      <c r="D9" t="s">
        <v>4</v>
      </c>
      <c r="E9">
        <v>180</v>
      </c>
      <c r="F9">
        <v>118</v>
      </c>
      <c r="G9">
        <v>72</v>
      </c>
      <c r="N9" s="4" t="s">
        <v>7</v>
      </c>
      <c r="O9" s="5">
        <v>207</v>
      </c>
      <c r="P9" s="5">
        <v>135.5</v>
      </c>
      <c r="Q9" s="5">
        <v>103.5</v>
      </c>
      <c r="R9" s="6" t="str" cm="1">
        <f t="array" ref="R9">GetHexFromRGB(O9,P9,Q9)</f>
        <v>#CF8868</v>
      </c>
    </row>
    <row r="10" spans="1:18" x14ac:dyDescent="0.2">
      <c r="A10">
        <v>128</v>
      </c>
      <c r="B10" s="2">
        <v>41642</v>
      </c>
      <c r="C10" t="s">
        <v>46</v>
      </c>
      <c r="D10" t="s">
        <v>4</v>
      </c>
      <c r="E10">
        <v>204</v>
      </c>
      <c r="F10">
        <v>151</v>
      </c>
      <c r="G10">
        <v>137</v>
      </c>
      <c r="N10" s="4" t="s">
        <v>8</v>
      </c>
      <c r="O10" s="5">
        <v>199</v>
      </c>
      <c r="P10" s="5">
        <v>155</v>
      </c>
      <c r="Q10" s="5">
        <v>131</v>
      </c>
      <c r="R10" s="6" t="str" cm="1">
        <f t="array" ref="R10">GetHexFromRGB(O10,P10,Q10)</f>
        <v>#C79B83</v>
      </c>
    </row>
    <row r="11" spans="1:18" x14ac:dyDescent="0.2">
      <c r="A11">
        <v>148</v>
      </c>
      <c r="B11" s="2">
        <v>40547</v>
      </c>
      <c r="C11" t="s">
        <v>46</v>
      </c>
      <c r="D11" t="s">
        <v>4</v>
      </c>
      <c r="E11">
        <v>214</v>
      </c>
      <c r="F11">
        <v>161</v>
      </c>
      <c r="G11">
        <v>133</v>
      </c>
      <c r="N11" s="4" t="s">
        <v>9</v>
      </c>
      <c r="O11" s="5">
        <v>205.25</v>
      </c>
      <c r="P11" s="5">
        <v>151.5</v>
      </c>
      <c r="Q11" s="5">
        <v>120.75</v>
      </c>
      <c r="R11" s="6" t="str" cm="1">
        <f t="array" ref="R11">GetHexFromRGB(O11,P11,Q11)</f>
        <v>#CD9879</v>
      </c>
    </row>
    <row r="12" spans="1:18" x14ac:dyDescent="0.2">
      <c r="A12">
        <v>219</v>
      </c>
      <c r="B12" s="2">
        <v>40919</v>
      </c>
      <c r="C12" t="s">
        <v>46</v>
      </c>
      <c r="D12" t="s">
        <v>4</v>
      </c>
      <c r="E12">
        <v>243</v>
      </c>
      <c r="F12">
        <v>177</v>
      </c>
      <c r="G12">
        <v>141</v>
      </c>
      <c r="N12" s="4" t="s">
        <v>10</v>
      </c>
      <c r="O12" s="5">
        <v>177.66666666666666</v>
      </c>
      <c r="P12" s="5">
        <v>125</v>
      </c>
      <c r="Q12" s="5">
        <v>87.333333333333329</v>
      </c>
      <c r="R12" s="6" t="str" cm="1">
        <f t="array" ref="R12">GetHexFromRGB(O12,P12,Q12)</f>
        <v>#B27D57</v>
      </c>
    </row>
    <row r="13" spans="1:18" x14ac:dyDescent="0.2">
      <c r="A13">
        <v>27</v>
      </c>
      <c r="B13" s="2">
        <v>43107</v>
      </c>
      <c r="C13" t="s">
        <v>52</v>
      </c>
      <c r="D13" t="s">
        <v>5</v>
      </c>
      <c r="E13">
        <v>184</v>
      </c>
      <c r="F13">
        <v>125</v>
      </c>
      <c r="G13">
        <v>82</v>
      </c>
      <c r="N13" s="4" t="s">
        <v>11</v>
      </c>
      <c r="O13" s="5">
        <v>199.5</v>
      </c>
      <c r="P13" s="5">
        <v>160.25</v>
      </c>
      <c r="Q13" s="5">
        <v>133</v>
      </c>
      <c r="R13" s="6" t="str" cm="1">
        <f t="array" ref="R13">GetHexFromRGB(O13,P13,Q13)</f>
        <v>#C8A085</v>
      </c>
    </row>
    <row r="14" spans="1:18" x14ac:dyDescent="0.2">
      <c r="A14">
        <v>67</v>
      </c>
      <c r="B14" s="2">
        <v>39087</v>
      </c>
      <c r="C14" t="s">
        <v>51</v>
      </c>
      <c r="D14" t="s">
        <v>5</v>
      </c>
      <c r="E14">
        <v>194</v>
      </c>
      <c r="F14">
        <v>151</v>
      </c>
      <c r="G14">
        <v>116</v>
      </c>
      <c r="N14" s="4" t="s">
        <v>12</v>
      </c>
      <c r="O14" s="5">
        <v>219</v>
      </c>
      <c r="P14" s="5">
        <v>153</v>
      </c>
      <c r="Q14" s="5">
        <v>124</v>
      </c>
      <c r="R14" s="6" t="str" cm="1">
        <f t="array" ref="R14">GetHexFromRGB(O14,P14,Q14)</f>
        <v>#DB997C</v>
      </c>
    </row>
    <row r="15" spans="1:18" x14ac:dyDescent="0.2">
      <c r="A15">
        <v>94</v>
      </c>
      <c r="B15" s="2">
        <v>40182</v>
      </c>
      <c r="C15" t="s">
        <v>52</v>
      </c>
      <c r="D15" t="s">
        <v>5</v>
      </c>
      <c r="E15">
        <v>213</v>
      </c>
      <c r="F15">
        <v>156</v>
      </c>
      <c r="G15">
        <v>113</v>
      </c>
      <c r="N15" s="4" t="s">
        <v>13</v>
      </c>
      <c r="O15" s="5">
        <v>210.5</v>
      </c>
      <c r="P15" s="5">
        <v>168.75</v>
      </c>
      <c r="Q15" s="5">
        <v>141</v>
      </c>
      <c r="R15" s="6" t="str" cm="1">
        <f t="array" ref="R15">GetHexFromRGB(O15,P15,Q15)</f>
        <v>#D2A98D</v>
      </c>
    </row>
    <row r="16" spans="1:18" x14ac:dyDescent="0.2">
      <c r="A16">
        <v>110</v>
      </c>
      <c r="B16" s="2">
        <v>36530</v>
      </c>
      <c r="C16" t="s">
        <v>52</v>
      </c>
      <c r="D16" t="s">
        <v>5</v>
      </c>
      <c r="E16">
        <v>204</v>
      </c>
      <c r="F16">
        <v>143</v>
      </c>
      <c r="G16">
        <v>127</v>
      </c>
      <c r="N16" s="4" t="s">
        <v>14</v>
      </c>
      <c r="O16" s="5">
        <v>227.5</v>
      </c>
      <c r="P16" s="5">
        <v>170.5</v>
      </c>
      <c r="Q16" s="5">
        <v>149</v>
      </c>
      <c r="R16" s="6" t="str" cm="1">
        <f t="array" ref="R16">GetHexFromRGB(O16,P16,Q16)</f>
        <v>#E4AA95</v>
      </c>
    </row>
    <row r="17" spans="1:18" x14ac:dyDescent="0.2">
      <c r="A17">
        <v>127</v>
      </c>
      <c r="B17" s="2">
        <v>36531</v>
      </c>
      <c r="C17" t="s">
        <v>52</v>
      </c>
      <c r="D17" t="s">
        <v>5</v>
      </c>
      <c r="E17">
        <v>211</v>
      </c>
      <c r="F17">
        <v>156</v>
      </c>
      <c r="G17">
        <v>129</v>
      </c>
      <c r="N17" s="4" t="s">
        <v>15</v>
      </c>
      <c r="O17" s="5">
        <v>219</v>
      </c>
      <c r="P17" s="5">
        <v>175</v>
      </c>
      <c r="Q17" s="5">
        <v>149</v>
      </c>
      <c r="R17" s="6" t="str" cm="1">
        <f t="array" ref="R17">GetHexFromRGB(O17,P17,Q17)</f>
        <v>#DBAF95</v>
      </c>
    </row>
    <row r="18" spans="1:18" x14ac:dyDescent="0.2">
      <c r="A18">
        <v>130</v>
      </c>
      <c r="B18" s="2">
        <v>36526</v>
      </c>
      <c r="C18" t="s">
        <v>52</v>
      </c>
      <c r="D18" t="s">
        <v>5</v>
      </c>
      <c r="E18">
        <v>209</v>
      </c>
      <c r="F18">
        <v>153</v>
      </c>
      <c r="G18">
        <v>133</v>
      </c>
      <c r="N18" s="4" t="s">
        <v>16</v>
      </c>
      <c r="O18" s="5">
        <v>123</v>
      </c>
      <c r="P18" s="5">
        <v>79.8</v>
      </c>
      <c r="Q18" s="5">
        <v>69.599999999999994</v>
      </c>
      <c r="R18" s="6" t="str" cm="1">
        <f t="array" ref="R18">GetHexFromRGB(O18,P18,Q18)</f>
        <v>#7B5046</v>
      </c>
    </row>
    <row r="19" spans="1:18" x14ac:dyDescent="0.2">
      <c r="A19">
        <v>147</v>
      </c>
      <c r="B19" s="2">
        <v>36897</v>
      </c>
      <c r="C19" t="s">
        <v>52</v>
      </c>
      <c r="D19" t="s">
        <v>5</v>
      </c>
      <c r="E19">
        <v>207</v>
      </c>
      <c r="F19">
        <v>155</v>
      </c>
      <c r="G19">
        <v>139</v>
      </c>
      <c r="N19" s="4" t="s">
        <v>17</v>
      </c>
      <c r="O19" s="5">
        <v>182.33333333333334</v>
      </c>
      <c r="P19" s="5">
        <v>114.33333333333333</v>
      </c>
      <c r="Q19" s="5">
        <v>83</v>
      </c>
      <c r="R19" s="6" t="str" cm="1">
        <f t="array" ref="R19">GetHexFromRGB(O19,P19,Q19)</f>
        <v>#B67253</v>
      </c>
    </row>
    <row r="20" spans="1:18" x14ac:dyDescent="0.2">
      <c r="A20">
        <v>159</v>
      </c>
      <c r="B20" s="2">
        <v>36903</v>
      </c>
      <c r="C20" t="s">
        <v>52</v>
      </c>
      <c r="D20" t="s">
        <v>5</v>
      </c>
      <c r="E20">
        <v>217</v>
      </c>
      <c r="F20">
        <v>170</v>
      </c>
      <c r="G20">
        <v>133</v>
      </c>
      <c r="N20" s="4" t="s">
        <v>18</v>
      </c>
      <c r="O20" s="5">
        <v>224.5</v>
      </c>
      <c r="P20" s="5">
        <v>189.5</v>
      </c>
      <c r="Q20" s="5">
        <v>155.5</v>
      </c>
      <c r="R20" s="6" t="str" cm="1">
        <f t="array" ref="R20">GetHexFromRGB(O20,P20,Q20)</f>
        <v>#E0BE9C</v>
      </c>
    </row>
    <row r="21" spans="1:18" x14ac:dyDescent="0.2">
      <c r="A21">
        <v>163</v>
      </c>
      <c r="B21" s="2">
        <v>39451</v>
      </c>
      <c r="C21" t="s">
        <v>52</v>
      </c>
      <c r="D21" t="s">
        <v>5</v>
      </c>
      <c r="E21">
        <v>214</v>
      </c>
      <c r="F21">
        <v>172</v>
      </c>
      <c r="G21">
        <v>138</v>
      </c>
      <c r="N21" s="4" t="s">
        <v>19</v>
      </c>
      <c r="O21" s="5">
        <v>212</v>
      </c>
      <c r="P21" s="5">
        <v>148</v>
      </c>
      <c r="Q21" s="5">
        <v>118</v>
      </c>
      <c r="R21" s="6" t="str" cm="1">
        <f t="array" ref="R21">GetHexFromRGB(O21,P21,Q21)</f>
        <v>#D49476</v>
      </c>
    </row>
    <row r="22" spans="1:18" x14ac:dyDescent="0.2">
      <c r="A22">
        <v>248</v>
      </c>
      <c r="B22" s="2">
        <v>37995</v>
      </c>
      <c r="C22" t="s">
        <v>52</v>
      </c>
      <c r="D22" t="s">
        <v>5</v>
      </c>
      <c r="E22">
        <v>235</v>
      </c>
      <c r="F22">
        <v>205</v>
      </c>
      <c r="G22">
        <v>179</v>
      </c>
      <c r="N22" s="4" t="s">
        <v>20</v>
      </c>
      <c r="O22" s="5">
        <v>219.8</v>
      </c>
      <c r="P22" s="5">
        <v>177.4</v>
      </c>
      <c r="Q22" s="5">
        <v>143.19999999999999</v>
      </c>
      <c r="R22" s="6" t="str" cm="1">
        <f t="array" ref="R22">GetHexFromRGB(O22,P22,Q22)</f>
        <v>#DCB18F</v>
      </c>
    </row>
    <row r="23" spans="1:18" x14ac:dyDescent="0.2">
      <c r="A23">
        <v>98</v>
      </c>
      <c r="B23" s="2">
        <v>36900</v>
      </c>
      <c r="C23" t="s">
        <v>57</v>
      </c>
      <c r="D23" t="s">
        <v>6</v>
      </c>
      <c r="E23">
        <v>200</v>
      </c>
      <c r="F23">
        <v>153</v>
      </c>
      <c r="G23">
        <v>128</v>
      </c>
      <c r="N23" s="4" t="s">
        <v>21</v>
      </c>
      <c r="O23" s="5">
        <v>219</v>
      </c>
      <c r="P23" s="5">
        <v>188</v>
      </c>
      <c r="Q23" s="5">
        <v>162</v>
      </c>
      <c r="R23" s="6" t="str" cm="1">
        <f t="array" ref="R23">GetHexFromRGB(O23,P23,Q23)</f>
        <v>#DBBCA2</v>
      </c>
    </row>
    <row r="24" spans="1:18" x14ac:dyDescent="0.2">
      <c r="A24">
        <v>114</v>
      </c>
      <c r="B24" s="2">
        <v>38725</v>
      </c>
      <c r="C24" t="s">
        <v>57</v>
      </c>
      <c r="D24" t="s">
        <v>6</v>
      </c>
      <c r="E24">
        <v>204</v>
      </c>
      <c r="F24">
        <v>155</v>
      </c>
      <c r="G24">
        <v>130</v>
      </c>
      <c r="N24" s="4" t="s">
        <v>22</v>
      </c>
      <c r="O24" s="5">
        <v>216.16666666666666</v>
      </c>
      <c r="P24" s="5">
        <v>168.16666666666666</v>
      </c>
      <c r="Q24" s="5">
        <v>132</v>
      </c>
      <c r="R24" s="6" t="str" cm="1">
        <f t="array" ref="R24">GetHexFromRGB(O24,P24,Q24)</f>
        <v>#D8A884</v>
      </c>
    </row>
    <row r="25" spans="1:18" x14ac:dyDescent="0.2">
      <c r="A25">
        <v>220</v>
      </c>
      <c r="B25" s="2">
        <v>40179</v>
      </c>
      <c r="C25" t="s">
        <v>58</v>
      </c>
      <c r="D25" t="s">
        <v>6</v>
      </c>
      <c r="E25">
        <v>214</v>
      </c>
      <c r="F25">
        <v>186</v>
      </c>
      <c r="G25">
        <v>170</v>
      </c>
      <c r="N25" s="4" t="s">
        <v>23</v>
      </c>
      <c r="O25" s="5">
        <v>200.4</v>
      </c>
      <c r="P25" s="5">
        <v>147.19999999999999</v>
      </c>
      <c r="Q25" s="5">
        <v>113.6</v>
      </c>
      <c r="R25" s="6" t="str" cm="1">
        <f t="array" ref="R25">GetHexFromRGB(O25,P25,Q25)</f>
        <v>#C89372</v>
      </c>
    </row>
    <row r="26" spans="1:18" x14ac:dyDescent="0.2">
      <c r="A26">
        <v>43</v>
      </c>
      <c r="B26" s="2">
        <v>42738</v>
      </c>
      <c r="C26" t="s">
        <v>64</v>
      </c>
      <c r="D26" t="s">
        <v>7</v>
      </c>
      <c r="E26">
        <v>200</v>
      </c>
      <c r="F26">
        <v>121</v>
      </c>
      <c r="G26">
        <v>85</v>
      </c>
      <c r="N26" s="4" t="s">
        <v>24</v>
      </c>
      <c r="O26" s="5">
        <v>232.5</v>
      </c>
      <c r="P26" s="5">
        <v>179.5</v>
      </c>
      <c r="Q26" s="5">
        <v>152</v>
      </c>
      <c r="R26" s="6" t="str" cm="1">
        <f t="array" ref="R26">GetHexFromRGB(O26,P26,Q26)</f>
        <v>#E8B498</v>
      </c>
    </row>
    <row r="27" spans="1:18" x14ac:dyDescent="0.2">
      <c r="A27">
        <v>117</v>
      </c>
      <c r="B27" s="2">
        <v>41648</v>
      </c>
      <c r="C27" t="s">
        <v>63</v>
      </c>
      <c r="D27" t="s">
        <v>7</v>
      </c>
      <c r="E27">
        <v>214</v>
      </c>
      <c r="F27">
        <v>150</v>
      </c>
      <c r="G27">
        <v>122</v>
      </c>
      <c r="N27" s="4" t="s">
        <v>25</v>
      </c>
      <c r="O27" s="5">
        <v>213.68</v>
      </c>
      <c r="P27" s="5">
        <v>168.4</v>
      </c>
      <c r="Q27" s="5">
        <v>142.32</v>
      </c>
      <c r="R27" s="6" t="str" cm="1">
        <f t="array" ref="R27">GetHexFromRGB(O27,P27,Q27)</f>
        <v>#D6A88E</v>
      </c>
    </row>
    <row r="28" spans="1:18" x14ac:dyDescent="0.2">
      <c r="A28">
        <v>103</v>
      </c>
      <c r="B28" s="2">
        <v>36893</v>
      </c>
      <c r="C28" t="s">
        <v>69</v>
      </c>
      <c r="D28" t="s">
        <v>8</v>
      </c>
      <c r="E28">
        <v>199</v>
      </c>
      <c r="F28">
        <v>155</v>
      </c>
      <c r="G28">
        <v>131</v>
      </c>
      <c r="N28" s="4" t="s">
        <v>26</v>
      </c>
      <c r="O28" s="5">
        <v>204.51552795031057</v>
      </c>
      <c r="P28" s="5">
        <v>159.77639751552795</v>
      </c>
      <c r="Q28" s="5">
        <v>132.15527950310559</v>
      </c>
      <c r="R28" s="6" t="str" cm="1">
        <f t="array" ref="R28">GetHexFromRGB(O28,P28,Q28)</f>
        <v>#CDA084</v>
      </c>
    </row>
    <row r="29" spans="1:18" x14ac:dyDescent="0.2">
      <c r="A29">
        <v>62</v>
      </c>
      <c r="B29" s="2">
        <v>36896</v>
      </c>
      <c r="C29" t="s">
        <v>74</v>
      </c>
      <c r="D29" t="s">
        <v>9</v>
      </c>
      <c r="E29">
        <v>203</v>
      </c>
      <c r="F29">
        <v>139</v>
      </c>
      <c r="G29">
        <v>103</v>
      </c>
      <c r="N29" s="4" t="s">
        <v>261</v>
      </c>
      <c r="O29" s="5">
        <v>204.50763358778627</v>
      </c>
      <c r="P29" s="5">
        <v>158.66030534351145</v>
      </c>
      <c r="Q29" s="5">
        <v>130.93129770992365</v>
      </c>
      <c r="R29" s="6"/>
    </row>
    <row r="30" spans="1:18" x14ac:dyDescent="0.2">
      <c r="A30">
        <v>92</v>
      </c>
      <c r="B30" s="2">
        <v>36536</v>
      </c>
      <c r="C30" t="s">
        <v>74</v>
      </c>
      <c r="D30" t="s">
        <v>9</v>
      </c>
      <c r="E30">
        <v>210</v>
      </c>
      <c r="F30">
        <v>163</v>
      </c>
      <c r="G30">
        <v>115</v>
      </c>
      <c r="R30" s="6"/>
    </row>
    <row r="31" spans="1:18" x14ac:dyDescent="0.2">
      <c r="A31">
        <v>113</v>
      </c>
      <c r="B31" s="2">
        <v>36533</v>
      </c>
      <c r="C31" t="s">
        <v>74</v>
      </c>
      <c r="D31" t="s">
        <v>9</v>
      </c>
      <c r="E31">
        <v>202</v>
      </c>
      <c r="F31">
        <v>150</v>
      </c>
      <c r="G31">
        <v>131</v>
      </c>
      <c r="R31" s="6"/>
    </row>
    <row r="32" spans="1:18" x14ac:dyDescent="0.2">
      <c r="A32">
        <v>126</v>
      </c>
      <c r="B32" s="2">
        <v>36526</v>
      </c>
      <c r="C32" t="s">
        <v>74</v>
      </c>
      <c r="D32" t="s">
        <v>9</v>
      </c>
      <c r="E32">
        <v>206</v>
      </c>
      <c r="F32">
        <v>154</v>
      </c>
      <c r="G32">
        <v>134</v>
      </c>
    </row>
    <row r="33" spans="1:7" x14ac:dyDescent="0.2">
      <c r="A33">
        <v>12</v>
      </c>
      <c r="B33" s="2">
        <v>39818</v>
      </c>
      <c r="C33" t="s">
        <v>79</v>
      </c>
      <c r="D33" t="s">
        <v>10</v>
      </c>
      <c r="E33">
        <v>172</v>
      </c>
      <c r="F33">
        <v>120</v>
      </c>
      <c r="G33">
        <v>66</v>
      </c>
    </row>
    <row r="34" spans="1:7" x14ac:dyDescent="0.2">
      <c r="A34">
        <v>32</v>
      </c>
      <c r="B34" s="2">
        <v>38357</v>
      </c>
      <c r="C34" t="s">
        <v>79</v>
      </c>
      <c r="D34" t="s">
        <v>10</v>
      </c>
      <c r="E34">
        <v>177</v>
      </c>
      <c r="F34">
        <v>126</v>
      </c>
      <c r="G34">
        <v>98</v>
      </c>
    </row>
    <row r="35" spans="1:7" x14ac:dyDescent="0.2">
      <c r="A35">
        <v>38</v>
      </c>
      <c r="B35" s="2">
        <v>42736</v>
      </c>
      <c r="C35" t="s">
        <v>80</v>
      </c>
      <c r="D35" t="s">
        <v>10</v>
      </c>
      <c r="E35">
        <v>184</v>
      </c>
      <c r="F35">
        <v>129</v>
      </c>
      <c r="G35">
        <v>98</v>
      </c>
    </row>
    <row r="36" spans="1:7" x14ac:dyDescent="0.2">
      <c r="A36">
        <v>44</v>
      </c>
      <c r="B36" s="2">
        <v>39824</v>
      </c>
      <c r="C36" t="s">
        <v>86</v>
      </c>
      <c r="D36" t="s">
        <v>11</v>
      </c>
      <c r="E36">
        <v>177</v>
      </c>
      <c r="F36">
        <v>148</v>
      </c>
      <c r="G36">
        <v>109</v>
      </c>
    </row>
    <row r="37" spans="1:7" x14ac:dyDescent="0.2">
      <c r="A37">
        <v>47</v>
      </c>
      <c r="B37" s="2">
        <v>40185</v>
      </c>
      <c r="C37" t="s">
        <v>86</v>
      </c>
      <c r="D37" t="s">
        <v>11</v>
      </c>
      <c r="E37">
        <v>191</v>
      </c>
      <c r="F37">
        <v>124</v>
      </c>
      <c r="G37">
        <v>98</v>
      </c>
    </row>
    <row r="38" spans="1:7" x14ac:dyDescent="0.2">
      <c r="A38">
        <v>156</v>
      </c>
      <c r="B38" s="2">
        <v>40916</v>
      </c>
      <c r="C38" t="s">
        <v>86</v>
      </c>
      <c r="D38" t="s">
        <v>11</v>
      </c>
      <c r="E38">
        <v>205</v>
      </c>
      <c r="F38">
        <v>172</v>
      </c>
      <c r="G38">
        <v>145</v>
      </c>
    </row>
    <row r="39" spans="1:7" x14ac:dyDescent="0.2">
      <c r="A39">
        <v>241</v>
      </c>
      <c r="B39" s="2">
        <v>40550</v>
      </c>
      <c r="C39" t="s">
        <v>85</v>
      </c>
      <c r="D39" t="s">
        <v>11</v>
      </c>
      <c r="E39">
        <v>225</v>
      </c>
      <c r="F39">
        <v>197</v>
      </c>
      <c r="G39">
        <v>180</v>
      </c>
    </row>
    <row r="40" spans="1:7" x14ac:dyDescent="0.2">
      <c r="A40">
        <v>136</v>
      </c>
      <c r="B40" s="2">
        <v>41648</v>
      </c>
      <c r="C40" t="s">
        <v>91</v>
      </c>
      <c r="D40" t="s">
        <v>12</v>
      </c>
      <c r="E40">
        <v>219</v>
      </c>
      <c r="F40">
        <v>153</v>
      </c>
      <c r="G40">
        <v>124</v>
      </c>
    </row>
    <row r="41" spans="1:7" x14ac:dyDescent="0.2">
      <c r="A41">
        <v>119</v>
      </c>
      <c r="B41" s="2">
        <v>37261</v>
      </c>
      <c r="C41" t="s">
        <v>102</v>
      </c>
      <c r="D41" t="s">
        <v>13</v>
      </c>
      <c r="E41">
        <v>201</v>
      </c>
      <c r="F41">
        <v>156</v>
      </c>
      <c r="G41">
        <v>134</v>
      </c>
    </row>
    <row r="42" spans="1:7" x14ac:dyDescent="0.2">
      <c r="A42">
        <v>135</v>
      </c>
      <c r="B42" s="2">
        <v>37988</v>
      </c>
      <c r="C42" t="s">
        <v>102</v>
      </c>
      <c r="D42" t="s">
        <v>13</v>
      </c>
      <c r="E42">
        <v>208</v>
      </c>
      <c r="F42">
        <v>161</v>
      </c>
      <c r="G42">
        <v>135</v>
      </c>
    </row>
    <row r="43" spans="1:7" x14ac:dyDescent="0.2">
      <c r="A43">
        <v>173</v>
      </c>
      <c r="B43" s="2">
        <v>40544</v>
      </c>
      <c r="C43" t="s">
        <v>102</v>
      </c>
      <c r="D43" t="s">
        <v>13</v>
      </c>
      <c r="E43">
        <v>219</v>
      </c>
      <c r="F43">
        <v>179</v>
      </c>
      <c r="G43">
        <v>140</v>
      </c>
    </row>
    <row r="44" spans="1:7" x14ac:dyDescent="0.2">
      <c r="A44">
        <v>194</v>
      </c>
      <c r="B44" s="2">
        <v>38720</v>
      </c>
      <c r="C44" t="s">
        <v>102</v>
      </c>
      <c r="D44" t="s">
        <v>13</v>
      </c>
      <c r="E44">
        <v>214</v>
      </c>
      <c r="F44">
        <v>179</v>
      </c>
      <c r="G44">
        <v>155</v>
      </c>
    </row>
    <row r="45" spans="1:7" x14ac:dyDescent="0.2">
      <c r="A45">
        <v>74</v>
      </c>
      <c r="B45" s="2">
        <v>42738</v>
      </c>
      <c r="C45" t="s">
        <v>97</v>
      </c>
      <c r="D45" t="s">
        <v>14</v>
      </c>
      <c r="E45">
        <v>219</v>
      </c>
      <c r="F45">
        <v>136</v>
      </c>
      <c r="G45">
        <v>97</v>
      </c>
    </row>
    <row r="46" spans="1:7" x14ac:dyDescent="0.2">
      <c r="A46">
        <v>258</v>
      </c>
      <c r="B46" s="2">
        <v>41651</v>
      </c>
      <c r="C46" t="s">
        <v>96</v>
      </c>
      <c r="D46" t="s">
        <v>14</v>
      </c>
      <c r="E46">
        <v>236</v>
      </c>
      <c r="F46">
        <v>205</v>
      </c>
      <c r="G46">
        <v>201</v>
      </c>
    </row>
    <row r="47" spans="1:7" x14ac:dyDescent="0.2">
      <c r="A47">
        <v>189</v>
      </c>
      <c r="B47" s="2">
        <v>43105</v>
      </c>
      <c r="C47" t="s">
        <v>107</v>
      </c>
      <c r="D47" t="s">
        <v>15</v>
      </c>
      <c r="E47">
        <v>219</v>
      </c>
      <c r="F47">
        <v>175</v>
      </c>
      <c r="G47">
        <v>149</v>
      </c>
    </row>
    <row r="48" spans="1:7" x14ac:dyDescent="0.2">
      <c r="A48">
        <v>0</v>
      </c>
      <c r="B48" s="2">
        <v>43101</v>
      </c>
      <c r="C48" t="s">
        <v>112</v>
      </c>
      <c r="D48" t="s">
        <v>16</v>
      </c>
      <c r="E48">
        <v>64</v>
      </c>
      <c r="F48">
        <v>44</v>
      </c>
      <c r="G48">
        <v>44</v>
      </c>
    </row>
    <row r="49" spans="1:7" x14ac:dyDescent="0.2">
      <c r="A49">
        <v>1</v>
      </c>
      <c r="B49" s="2">
        <v>42014</v>
      </c>
      <c r="C49" t="s">
        <v>112</v>
      </c>
      <c r="D49" t="s">
        <v>16</v>
      </c>
      <c r="E49">
        <v>88</v>
      </c>
      <c r="F49">
        <v>52</v>
      </c>
      <c r="G49">
        <v>43</v>
      </c>
    </row>
    <row r="50" spans="1:7" x14ac:dyDescent="0.2">
      <c r="A50">
        <v>4</v>
      </c>
      <c r="B50" s="2">
        <v>41646</v>
      </c>
      <c r="C50" t="s">
        <v>112</v>
      </c>
      <c r="D50" t="s">
        <v>16</v>
      </c>
      <c r="E50">
        <v>133</v>
      </c>
      <c r="F50">
        <v>82</v>
      </c>
      <c r="G50">
        <v>79</v>
      </c>
    </row>
    <row r="51" spans="1:7" x14ac:dyDescent="0.2">
      <c r="A51">
        <v>5</v>
      </c>
      <c r="B51" s="2">
        <v>42379</v>
      </c>
      <c r="C51" t="s">
        <v>112</v>
      </c>
      <c r="D51" t="s">
        <v>16</v>
      </c>
      <c r="E51">
        <v>143</v>
      </c>
      <c r="F51">
        <v>83</v>
      </c>
      <c r="G51">
        <v>71</v>
      </c>
    </row>
    <row r="52" spans="1:7" x14ac:dyDescent="0.2">
      <c r="A52">
        <v>52</v>
      </c>
      <c r="B52" s="2">
        <v>38358</v>
      </c>
      <c r="C52" t="s">
        <v>113</v>
      </c>
      <c r="D52" t="s">
        <v>16</v>
      </c>
      <c r="E52">
        <v>187</v>
      </c>
      <c r="F52">
        <v>138</v>
      </c>
      <c r="G52">
        <v>111</v>
      </c>
    </row>
    <row r="53" spans="1:7" x14ac:dyDescent="0.2">
      <c r="A53">
        <v>6</v>
      </c>
      <c r="B53" s="2">
        <v>42738</v>
      </c>
      <c r="C53" t="s">
        <v>119</v>
      </c>
      <c r="D53" t="s">
        <v>17</v>
      </c>
      <c r="E53">
        <v>171</v>
      </c>
      <c r="F53">
        <v>84</v>
      </c>
      <c r="G53">
        <v>45</v>
      </c>
    </row>
    <row r="54" spans="1:7" x14ac:dyDescent="0.2">
      <c r="A54">
        <v>19</v>
      </c>
      <c r="B54" s="2">
        <v>41648</v>
      </c>
      <c r="C54" t="s">
        <v>119</v>
      </c>
      <c r="D54" t="s">
        <v>17</v>
      </c>
      <c r="E54">
        <v>177</v>
      </c>
      <c r="F54">
        <v>105</v>
      </c>
      <c r="G54">
        <v>79</v>
      </c>
    </row>
    <row r="55" spans="1:7" x14ac:dyDescent="0.2">
      <c r="A55">
        <v>89</v>
      </c>
      <c r="B55" s="2">
        <v>39087</v>
      </c>
      <c r="C55" t="s">
        <v>118</v>
      </c>
      <c r="D55" t="s">
        <v>17</v>
      </c>
      <c r="E55">
        <v>199</v>
      </c>
      <c r="F55">
        <v>154</v>
      </c>
      <c r="G55">
        <v>125</v>
      </c>
    </row>
    <row r="56" spans="1:7" x14ac:dyDescent="0.2">
      <c r="A56">
        <v>115</v>
      </c>
      <c r="B56" s="2">
        <v>39818</v>
      </c>
      <c r="C56" t="s">
        <v>124</v>
      </c>
      <c r="D56" t="s">
        <v>18</v>
      </c>
      <c r="E56">
        <v>213</v>
      </c>
      <c r="F56">
        <v>170</v>
      </c>
      <c r="G56">
        <v>122</v>
      </c>
    </row>
    <row r="57" spans="1:7" x14ac:dyDescent="0.2">
      <c r="A57">
        <v>255</v>
      </c>
      <c r="B57" s="2">
        <v>37995</v>
      </c>
      <c r="C57" t="s">
        <v>125</v>
      </c>
      <c r="D57" t="s">
        <v>18</v>
      </c>
      <c r="E57">
        <v>236</v>
      </c>
      <c r="F57">
        <v>209</v>
      </c>
      <c r="G57">
        <v>189</v>
      </c>
    </row>
    <row r="58" spans="1:7" x14ac:dyDescent="0.2">
      <c r="A58">
        <v>105</v>
      </c>
      <c r="B58" s="2">
        <v>41648</v>
      </c>
      <c r="C58" t="s">
        <v>132</v>
      </c>
      <c r="D58" t="s">
        <v>19</v>
      </c>
      <c r="E58">
        <v>212</v>
      </c>
      <c r="F58">
        <v>148</v>
      </c>
      <c r="G58">
        <v>118</v>
      </c>
    </row>
    <row r="59" spans="1:7" x14ac:dyDescent="0.2">
      <c r="A59">
        <v>93</v>
      </c>
      <c r="B59" s="2">
        <v>39087</v>
      </c>
      <c r="C59" t="s">
        <v>137</v>
      </c>
      <c r="D59" t="s">
        <v>20</v>
      </c>
      <c r="E59">
        <v>201</v>
      </c>
      <c r="F59">
        <v>156</v>
      </c>
      <c r="G59">
        <v>124</v>
      </c>
    </row>
    <row r="60" spans="1:7" x14ac:dyDescent="0.2">
      <c r="A60">
        <v>82</v>
      </c>
      <c r="B60" s="2">
        <v>39818</v>
      </c>
      <c r="C60" t="s">
        <v>148</v>
      </c>
      <c r="D60" t="s">
        <v>20</v>
      </c>
      <c r="E60">
        <v>211</v>
      </c>
      <c r="F60">
        <v>164</v>
      </c>
      <c r="G60">
        <v>110</v>
      </c>
    </row>
    <row r="61" spans="1:7" x14ac:dyDescent="0.2">
      <c r="A61">
        <v>166</v>
      </c>
      <c r="B61" s="2">
        <v>39089</v>
      </c>
      <c r="C61" t="s">
        <v>148</v>
      </c>
      <c r="D61" t="s">
        <v>20</v>
      </c>
      <c r="E61">
        <v>209</v>
      </c>
      <c r="F61">
        <v>169</v>
      </c>
      <c r="G61">
        <v>145</v>
      </c>
    </row>
    <row r="62" spans="1:7" x14ac:dyDescent="0.2">
      <c r="A62">
        <v>213</v>
      </c>
      <c r="B62" s="2">
        <v>41650</v>
      </c>
      <c r="C62" t="s">
        <v>148</v>
      </c>
      <c r="D62" t="s">
        <v>20</v>
      </c>
      <c r="E62">
        <v>238</v>
      </c>
      <c r="F62">
        <v>184</v>
      </c>
      <c r="G62">
        <v>141</v>
      </c>
    </row>
    <row r="63" spans="1:7" x14ac:dyDescent="0.2">
      <c r="A63">
        <v>257</v>
      </c>
      <c r="B63" s="2">
        <v>37995</v>
      </c>
      <c r="C63" t="s">
        <v>148</v>
      </c>
      <c r="D63" t="s">
        <v>20</v>
      </c>
      <c r="E63">
        <v>240</v>
      </c>
      <c r="F63">
        <v>214</v>
      </c>
      <c r="G63">
        <v>196</v>
      </c>
    </row>
    <row r="64" spans="1:7" x14ac:dyDescent="0.2">
      <c r="A64">
        <v>217</v>
      </c>
      <c r="B64" s="2">
        <v>38354</v>
      </c>
      <c r="C64" t="s">
        <v>138</v>
      </c>
      <c r="D64" t="s">
        <v>21</v>
      </c>
      <c r="E64">
        <v>219</v>
      </c>
      <c r="F64">
        <v>188</v>
      </c>
      <c r="G64">
        <v>162</v>
      </c>
    </row>
    <row r="65" spans="1:7" x14ac:dyDescent="0.2">
      <c r="A65">
        <v>46</v>
      </c>
      <c r="B65" s="2">
        <v>36535</v>
      </c>
      <c r="C65" t="s">
        <v>143</v>
      </c>
      <c r="D65" t="s">
        <v>22</v>
      </c>
      <c r="E65">
        <v>189</v>
      </c>
      <c r="F65">
        <v>123</v>
      </c>
      <c r="G65">
        <v>99</v>
      </c>
    </row>
    <row r="66" spans="1:7" x14ac:dyDescent="0.2">
      <c r="A66">
        <v>112</v>
      </c>
      <c r="B66" s="2">
        <v>39092</v>
      </c>
      <c r="C66" t="s">
        <v>143</v>
      </c>
      <c r="D66" t="s">
        <v>22</v>
      </c>
      <c r="E66">
        <v>205</v>
      </c>
      <c r="F66">
        <v>163</v>
      </c>
      <c r="G66">
        <v>127</v>
      </c>
    </row>
    <row r="67" spans="1:7" x14ac:dyDescent="0.2">
      <c r="A67">
        <v>125</v>
      </c>
      <c r="B67" s="2">
        <v>39822</v>
      </c>
      <c r="C67" t="s">
        <v>143</v>
      </c>
      <c r="D67" t="s">
        <v>22</v>
      </c>
      <c r="E67">
        <v>221</v>
      </c>
      <c r="F67">
        <v>174</v>
      </c>
      <c r="G67">
        <v>119</v>
      </c>
    </row>
    <row r="68" spans="1:7" x14ac:dyDescent="0.2">
      <c r="A68">
        <v>186</v>
      </c>
      <c r="B68" s="2">
        <v>37996</v>
      </c>
      <c r="C68" t="s">
        <v>143</v>
      </c>
      <c r="D68" t="s">
        <v>22</v>
      </c>
      <c r="E68">
        <v>231</v>
      </c>
      <c r="F68">
        <v>190</v>
      </c>
      <c r="G68">
        <v>136</v>
      </c>
    </row>
    <row r="69" spans="1:7" x14ac:dyDescent="0.2">
      <c r="A69">
        <v>205</v>
      </c>
      <c r="B69" s="2">
        <v>41645</v>
      </c>
      <c r="C69" t="s">
        <v>143</v>
      </c>
      <c r="D69" t="s">
        <v>22</v>
      </c>
      <c r="E69">
        <v>230</v>
      </c>
      <c r="F69">
        <v>169</v>
      </c>
      <c r="G69">
        <v>146</v>
      </c>
    </row>
    <row r="70" spans="1:7" x14ac:dyDescent="0.2">
      <c r="A70">
        <v>225</v>
      </c>
      <c r="B70" s="2">
        <v>40555</v>
      </c>
      <c r="C70" t="s">
        <v>143</v>
      </c>
      <c r="D70" t="s">
        <v>22</v>
      </c>
      <c r="E70">
        <v>221</v>
      </c>
      <c r="F70">
        <v>190</v>
      </c>
      <c r="G70">
        <v>165</v>
      </c>
    </row>
    <row r="71" spans="1:7" x14ac:dyDescent="0.2">
      <c r="A71">
        <v>36</v>
      </c>
      <c r="B71" s="2">
        <v>39094</v>
      </c>
      <c r="C71" t="s">
        <v>153</v>
      </c>
      <c r="D71" t="s">
        <v>23</v>
      </c>
      <c r="E71">
        <v>174</v>
      </c>
      <c r="F71">
        <v>134</v>
      </c>
      <c r="G71">
        <v>107</v>
      </c>
    </row>
    <row r="72" spans="1:7" x14ac:dyDescent="0.2">
      <c r="A72">
        <v>39</v>
      </c>
      <c r="B72" s="2">
        <v>39824</v>
      </c>
      <c r="C72" t="s">
        <v>153</v>
      </c>
      <c r="D72" t="s">
        <v>23</v>
      </c>
      <c r="E72">
        <v>181</v>
      </c>
      <c r="F72">
        <v>145</v>
      </c>
      <c r="G72">
        <v>101</v>
      </c>
    </row>
    <row r="73" spans="1:7" x14ac:dyDescent="0.2">
      <c r="A73">
        <v>65</v>
      </c>
      <c r="B73" s="2">
        <v>40549</v>
      </c>
      <c r="C73" t="s">
        <v>153</v>
      </c>
      <c r="D73" t="s">
        <v>23</v>
      </c>
      <c r="E73">
        <v>197</v>
      </c>
      <c r="F73">
        <v>140</v>
      </c>
      <c r="G73">
        <v>111</v>
      </c>
    </row>
    <row r="74" spans="1:7" x14ac:dyDescent="0.2">
      <c r="A74">
        <v>100</v>
      </c>
      <c r="B74" s="2">
        <v>36894</v>
      </c>
      <c r="C74" t="s">
        <v>153</v>
      </c>
      <c r="D74" t="s">
        <v>23</v>
      </c>
      <c r="E74">
        <v>223</v>
      </c>
      <c r="F74">
        <v>142</v>
      </c>
      <c r="G74">
        <v>105</v>
      </c>
    </row>
    <row r="75" spans="1:7" x14ac:dyDescent="0.2">
      <c r="A75">
        <v>200</v>
      </c>
      <c r="B75" s="2">
        <v>42371</v>
      </c>
      <c r="C75" t="s">
        <v>153</v>
      </c>
      <c r="D75" t="s">
        <v>23</v>
      </c>
      <c r="E75">
        <v>227</v>
      </c>
      <c r="F75">
        <v>175</v>
      </c>
      <c r="G75">
        <v>144</v>
      </c>
    </row>
    <row r="76" spans="1:7" x14ac:dyDescent="0.2">
      <c r="A76">
        <v>216</v>
      </c>
      <c r="B76" s="2">
        <v>42370</v>
      </c>
      <c r="C76" t="s">
        <v>158</v>
      </c>
      <c r="D76" t="s">
        <v>24</v>
      </c>
      <c r="E76">
        <v>231</v>
      </c>
      <c r="F76">
        <v>172</v>
      </c>
      <c r="G76">
        <v>150</v>
      </c>
    </row>
    <row r="77" spans="1:7" x14ac:dyDescent="0.2">
      <c r="A77">
        <v>226</v>
      </c>
      <c r="B77" s="2">
        <v>43103</v>
      </c>
      <c r="C77" t="s">
        <v>158</v>
      </c>
      <c r="D77" t="s">
        <v>24</v>
      </c>
      <c r="E77">
        <v>234</v>
      </c>
      <c r="F77">
        <v>187</v>
      </c>
      <c r="G77">
        <v>154</v>
      </c>
    </row>
    <row r="78" spans="1:7" x14ac:dyDescent="0.2">
      <c r="A78">
        <v>15</v>
      </c>
      <c r="B78" s="2">
        <v>42738</v>
      </c>
      <c r="C78" t="s">
        <v>164</v>
      </c>
      <c r="D78" t="s">
        <v>25</v>
      </c>
      <c r="E78">
        <v>186</v>
      </c>
      <c r="F78">
        <v>103</v>
      </c>
      <c r="G78">
        <v>62</v>
      </c>
    </row>
    <row r="79" spans="1:7" x14ac:dyDescent="0.2">
      <c r="A79">
        <v>18</v>
      </c>
      <c r="B79" s="2">
        <v>39455</v>
      </c>
      <c r="C79" t="s">
        <v>171</v>
      </c>
      <c r="D79" t="s">
        <v>25</v>
      </c>
      <c r="E79">
        <v>161</v>
      </c>
      <c r="F79">
        <v>127</v>
      </c>
      <c r="G79">
        <v>95</v>
      </c>
    </row>
    <row r="80" spans="1:7" x14ac:dyDescent="0.2">
      <c r="A80">
        <v>58</v>
      </c>
      <c r="B80" s="2">
        <v>39087</v>
      </c>
      <c r="C80" t="s">
        <v>174</v>
      </c>
      <c r="D80" t="s">
        <v>25</v>
      </c>
      <c r="E80">
        <v>189</v>
      </c>
      <c r="F80">
        <v>143</v>
      </c>
      <c r="G80">
        <v>112</v>
      </c>
    </row>
    <row r="81" spans="1:7" x14ac:dyDescent="0.2">
      <c r="A81">
        <v>69</v>
      </c>
      <c r="B81" s="2">
        <v>39088</v>
      </c>
      <c r="C81" t="s">
        <v>173</v>
      </c>
      <c r="D81" t="s">
        <v>25</v>
      </c>
      <c r="E81">
        <v>200</v>
      </c>
      <c r="F81">
        <v>151</v>
      </c>
      <c r="G81">
        <v>112</v>
      </c>
    </row>
    <row r="82" spans="1:7" x14ac:dyDescent="0.2">
      <c r="A82">
        <v>102</v>
      </c>
      <c r="B82" s="2">
        <v>41648</v>
      </c>
      <c r="C82" t="s">
        <v>169</v>
      </c>
      <c r="D82" t="s">
        <v>25</v>
      </c>
      <c r="E82">
        <v>210</v>
      </c>
      <c r="F82">
        <v>146</v>
      </c>
      <c r="G82">
        <v>119</v>
      </c>
    </row>
    <row r="83" spans="1:7" x14ac:dyDescent="0.2">
      <c r="A83">
        <v>134</v>
      </c>
      <c r="B83" s="2">
        <v>39457</v>
      </c>
      <c r="C83" t="s">
        <v>175</v>
      </c>
      <c r="D83" t="s">
        <v>25</v>
      </c>
      <c r="E83">
        <v>200</v>
      </c>
      <c r="F83">
        <v>163</v>
      </c>
      <c r="G83">
        <v>143</v>
      </c>
    </row>
    <row r="84" spans="1:7" x14ac:dyDescent="0.2">
      <c r="A84">
        <v>137</v>
      </c>
      <c r="B84" s="2">
        <v>40552</v>
      </c>
      <c r="C84" t="s">
        <v>171</v>
      </c>
      <c r="D84" t="s">
        <v>25</v>
      </c>
      <c r="E84">
        <v>204</v>
      </c>
      <c r="F84">
        <v>165</v>
      </c>
      <c r="G84">
        <v>139</v>
      </c>
    </row>
    <row r="85" spans="1:7" x14ac:dyDescent="0.2">
      <c r="A85">
        <v>138</v>
      </c>
      <c r="B85" s="2">
        <v>39456</v>
      </c>
      <c r="C85" t="s">
        <v>173</v>
      </c>
      <c r="D85" t="s">
        <v>25</v>
      </c>
      <c r="E85">
        <v>190</v>
      </c>
      <c r="F85">
        <v>166</v>
      </c>
      <c r="G85">
        <v>153</v>
      </c>
    </row>
    <row r="86" spans="1:7" x14ac:dyDescent="0.2">
      <c r="A86">
        <v>143</v>
      </c>
      <c r="B86" s="2">
        <v>41648</v>
      </c>
      <c r="C86" t="s">
        <v>165</v>
      </c>
      <c r="D86" t="s">
        <v>25</v>
      </c>
      <c r="E86">
        <v>218</v>
      </c>
      <c r="F86">
        <v>156</v>
      </c>
      <c r="G86">
        <v>127</v>
      </c>
    </row>
    <row r="87" spans="1:7" x14ac:dyDescent="0.2">
      <c r="A87">
        <v>150</v>
      </c>
      <c r="B87" s="2">
        <v>43112</v>
      </c>
      <c r="C87" t="s">
        <v>170</v>
      </c>
      <c r="D87" t="s">
        <v>25</v>
      </c>
      <c r="E87">
        <v>217</v>
      </c>
      <c r="F87">
        <v>156</v>
      </c>
      <c r="G87">
        <v>130</v>
      </c>
    </row>
    <row r="88" spans="1:7" x14ac:dyDescent="0.2">
      <c r="A88">
        <v>164</v>
      </c>
      <c r="B88" s="2">
        <v>42746</v>
      </c>
      <c r="C88" t="s">
        <v>168</v>
      </c>
      <c r="D88" t="s">
        <v>25</v>
      </c>
      <c r="E88">
        <v>209</v>
      </c>
      <c r="F88">
        <v>163</v>
      </c>
      <c r="G88">
        <v>143</v>
      </c>
    </row>
    <row r="89" spans="1:7" x14ac:dyDescent="0.2">
      <c r="A89">
        <v>168</v>
      </c>
      <c r="B89" s="2">
        <v>38359</v>
      </c>
      <c r="C89" t="s">
        <v>172</v>
      </c>
      <c r="D89" t="s">
        <v>25</v>
      </c>
      <c r="E89">
        <v>219</v>
      </c>
      <c r="F89">
        <v>171</v>
      </c>
      <c r="G89">
        <v>137</v>
      </c>
    </row>
    <row r="90" spans="1:7" x14ac:dyDescent="0.2">
      <c r="A90">
        <v>174</v>
      </c>
      <c r="B90" s="2">
        <v>38364</v>
      </c>
      <c r="C90" t="s">
        <v>173</v>
      </c>
      <c r="D90" t="s">
        <v>25</v>
      </c>
      <c r="E90">
        <v>219</v>
      </c>
      <c r="F90">
        <v>179</v>
      </c>
      <c r="G90">
        <v>141</v>
      </c>
    </row>
    <row r="91" spans="1:7" x14ac:dyDescent="0.2">
      <c r="A91">
        <v>179</v>
      </c>
      <c r="B91" s="2">
        <v>38722</v>
      </c>
      <c r="C91" t="s">
        <v>173</v>
      </c>
      <c r="D91" t="s">
        <v>25</v>
      </c>
      <c r="E91">
        <v>223</v>
      </c>
      <c r="F91">
        <v>179</v>
      </c>
      <c r="G91">
        <v>140</v>
      </c>
    </row>
    <row r="92" spans="1:7" x14ac:dyDescent="0.2">
      <c r="A92">
        <v>208</v>
      </c>
      <c r="B92" s="2">
        <v>41285</v>
      </c>
      <c r="C92" t="s">
        <v>172</v>
      </c>
      <c r="D92" t="s">
        <v>25</v>
      </c>
      <c r="E92">
        <v>224</v>
      </c>
      <c r="F92">
        <v>177</v>
      </c>
      <c r="G92">
        <v>152</v>
      </c>
    </row>
    <row r="93" spans="1:7" x14ac:dyDescent="0.2">
      <c r="A93">
        <v>211</v>
      </c>
      <c r="B93" s="2">
        <v>40188</v>
      </c>
      <c r="C93" t="s">
        <v>166</v>
      </c>
      <c r="D93" t="s">
        <v>25</v>
      </c>
      <c r="E93">
        <v>224</v>
      </c>
      <c r="F93">
        <v>191</v>
      </c>
      <c r="G93">
        <v>154</v>
      </c>
    </row>
    <row r="94" spans="1:7" x14ac:dyDescent="0.2">
      <c r="A94">
        <v>221</v>
      </c>
      <c r="B94" s="2">
        <v>41279</v>
      </c>
      <c r="C94" t="s">
        <v>166</v>
      </c>
      <c r="D94" t="s">
        <v>25</v>
      </c>
      <c r="E94">
        <v>226</v>
      </c>
      <c r="F94">
        <v>191</v>
      </c>
      <c r="G94">
        <v>158</v>
      </c>
    </row>
    <row r="95" spans="1:7" x14ac:dyDescent="0.2">
      <c r="A95">
        <v>222</v>
      </c>
      <c r="B95" s="2">
        <v>42011</v>
      </c>
      <c r="C95" t="s">
        <v>165</v>
      </c>
      <c r="D95" t="s">
        <v>25</v>
      </c>
      <c r="E95">
        <v>236</v>
      </c>
      <c r="F95">
        <v>174</v>
      </c>
      <c r="G95">
        <v>149</v>
      </c>
    </row>
    <row r="96" spans="1:7" x14ac:dyDescent="0.2">
      <c r="A96">
        <v>229</v>
      </c>
      <c r="B96" s="2">
        <v>42009</v>
      </c>
      <c r="C96" t="s">
        <v>166</v>
      </c>
      <c r="D96" t="s">
        <v>25</v>
      </c>
      <c r="E96">
        <v>240</v>
      </c>
      <c r="F96">
        <v>186</v>
      </c>
      <c r="G96">
        <v>152</v>
      </c>
    </row>
    <row r="97" spans="1:7" x14ac:dyDescent="0.2">
      <c r="A97">
        <v>240</v>
      </c>
      <c r="B97" s="2">
        <v>42372</v>
      </c>
      <c r="C97" t="s">
        <v>163</v>
      </c>
      <c r="D97" t="s">
        <v>25</v>
      </c>
      <c r="E97">
        <v>240</v>
      </c>
      <c r="F97">
        <v>187</v>
      </c>
      <c r="G97">
        <v>165</v>
      </c>
    </row>
    <row r="98" spans="1:7" x14ac:dyDescent="0.2">
      <c r="A98">
        <v>242</v>
      </c>
      <c r="B98" s="2">
        <v>40911</v>
      </c>
      <c r="C98" t="s">
        <v>163</v>
      </c>
      <c r="D98" t="s">
        <v>25</v>
      </c>
      <c r="E98">
        <v>215</v>
      </c>
      <c r="F98">
        <v>199</v>
      </c>
      <c r="G98">
        <v>191</v>
      </c>
    </row>
    <row r="99" spans="1:7" x14ac:dyDescent="0.2">
      <c r="A99">
        <v>252</v>
      </c>
      <c r="B99" s="2">
        <v>40918</v>
      </c>
      <c r="C99" t="s">
        <v>173</v>
      </c>
      <c r="D99" t="s">
        <v>25</v>
      </c>
      <c r="E99">
        <v>238</v>
      </c>
      <c r="F99">
        <v>191</v>
      </c>
      <c r="G99">
        <v>180</v>
      </c>
    </row>
    <row r="100" spans="1:7" x14ac:dyDescent="0.2">
      <c r="A100">
        <v>259</v>
      </c>
      <c r="B100" s="2">
        <v>43111</v>
      </c>
      <c r="C100" t="s">
        <v>167</v>
      </c>
      <c r="D100" t="s">
        <v>25</v>
      </c>
      <c r="E100">
        <v>239</v>
      </c>
      <c r="F100">
        <v>208</v>
      </c>
      <c r="G100">
        <v>197</v>
      </c>
    </row>
    <row r="101" spans="1:7" x14ac:dyDescent="0.2">
      <c r="A101">
        <v>162</v>
      </c>
      <c r="B101" s="2">
        <v>37267</v>
      </c>
      <c r="C101" t="s">
        <v>259</v>
      </c>
      <c r="D101" t="s">
        <v>25</v>
      </c>
      <c r="E101">
        <v>204</v>
      </c>
      <c r="F101">
        <v>164</v>
      </c>
      <c r="G101">
        <v>147</v>
      </c>
    </row>
    <row r="102" spans="1:7" x14ac:dyDescent="0.2">
      <c r="A102">
        <v>198</v>
      </c>
      <c r="B102" s="2">
        <v>36898</v>
      </c>
      <c r="C102" t="s">
        <v>259</v>
      </c>
      <c r="D102" t="s">
        <v>25</v>
      </c>
      <c r="E102">
        <v>211</v>
      </c>
      <c r="F102">
        <v>174</v>
      </c>
      <c r="G102">
        <v>160</v>
      </c>
    </row>
    <row r="103" spans="1:7" x14ac:dyDescent="0.2">
      <c r="A103">
        <v>28</v>
      </c>
      <c r="B103" s="2">
        <v>41648</v>
      </c>
      <c r="C103" t="s">
        <v>130</v>
      </c>
      <c r="D103" t="s">
        <v>26</v>
      </c>
      <c r="E103">
        <v>183</v>
      </c>
      <c r="F103">
        <v>113</v>
      </c>
      <c r="G103">
        <v>86</v>
      </c>
    </row>
    <row r="104" spans="1:7" x14ac:dyDescent="0.2">
      <c r="A104">
        <v>2</v>
      </c>
      <c r="B104" s="2">
        <v>39816</v>
      </c>
      <c r="C104" t="s">
        <v>235</v>
      </c>
      <c r="D104" t="s">
        <v>26</v>
      </c>
      <c r="E104">
        <v>132</v>
      </c>
      <c r="F104">
        <v>73</v>
      </c>
      <c r="G104">
        <v>48</v>
      </c>
    </row>
    <row r="105" spans="1:7" x14ac:dyDescent="0.2">
      <c r="A105">
        <v>3</v>
      </c>
      <c r="B105" s="2">
        <v>42008</v>
      </c>
      <c r="C105" t="s">
        <v>248</v>
      </c>
      <c r="D105" t="s">
        <v>26</v>
      </c>
      <c r="E105">
        <v>135</v>
      </c>
      <c r="F105">
        <v>80</v>
      </c>
      <c r="G105">
        <v>56</v>
      </c>
    </row>
    <row r="106" spans="1:7" x14ac:dyDescent="0.2">
      <c r="A106">
        <v>7</v>
      </c>
      <c r="B106" s="2">
        <v>43102</v>
      </c>
      <c r="C106" t="s">
        <v>248</v>
      </c>
      <c r="D106" t="s">
        <v>26</v>
      </c>
      <c r="E106">
        <v>147</v>
      </c>
      <c r="F106">
        <v>94</v>
      </c>
      <c r="G106">
        <v>71</v>
      </c>
    </row>
    <row r="107" spans="1:7" x14ac:dyDescent="0.2">
      <c r="A107">
        <v>8</v>
      </c>
      <c r="B107" s="2">
        <v>39817</v>
      </c>
      <c r="C107" t="s">
        <v>189</v>
      </c>
      <c r="D107" t="s">
        <v>26</v>
      </c>
      <c r="E107">
        <v>145</v>
      </c>
      <c r="F107">
        <v>104</v>
      </c>
      <c r="G107">
        <v>76</v>
      </c>
    </row>
    <row r="108" spans="1:7" x14ac:dyDescent="0.2">
      <c r="A108">
        <v>9</v>
      </c>
      <c r="B108" s="2">
        <v>37268</v>
      </c>
      <c r="C108" t="s">
        <v>208</v>
      </c>
      <c r="D108" t="s">
        <v>26</v>
      </c>
      <c r="E108">
        <v>144</v>
      </c>
      <c r="F108">
        <v>96</v>
      </c>
      <c r="G108">
        <v>81</v>
      </c>
    </row>
    <row r="109" spans="1:7" x14ac:dyDescent="0.2">
      <c r="A109">
        <v>10</v>
      </c>
      <c r="B109" s="2">
        <v>40914</v>
      </c>
      <c r="C109" t="s">
        <v>248</v>
      </c>
      <c r="D109" t="s">
        <v>26</v>
      </c>
      <c r="E109">
        <v>156</v>
      </c>
      <c r="F109">
        <v>90</v>
      </c>
      <c r="G109">
        <v>70</v>
      </c>
    </row>
    <row r="110" spans="1:7" x14ac:dyDescent="0.2">
      <c r="A110">
        <v>11</v>
      </c>
      <c r="B110" s="2">
        <v>42381</v>
      </c>
      <c r="C110" t="s">
        <v>235</v>
      </c>
      <c r="D110" t="s">
        <v>26</v>
      </c>
      <c r="E110">
        <v>163</v>
      </c>
      <c r="F110">
        <v>114</v>
      </c>
      <c r="G110">
        <v>73</v>
      </c>
    </row>
    <row r="111" spans="1:7" x14ac:dyDescent="0.2">
      <c r="A111">
        <v>13</v>
      </c>
      <c r="B111" s="2">
        <v>39459</v>
      </c>
      <c r="C111" t="s">
        <v>211</v>
      </c>
      <c r="D111" t="s">
        <v>26</v>
      </c>
      <c r="E111">
        <v>149</v>
      </c>
      <c r="F111">
        <v>116</v>
      </c>
      <c r="G111">
        <v>90</v>
      </c>
    </row>
    <row r="112" spans="1:7" x14ac:dyDescent="0.2">
      <c r="A112">
        <v>16</v>
      </c>
      <c r="B112" s="2">
        <v>39085</v>
      </c>
      <c r="C112" t="s">
        <v>213</v>
      </c>
      <c r="D112" t="s">
        <v>26</v>
      </c>
      <c r="E112">
        <v>166</v>
      </c>
      <c r="F112">
        <v>121</v>
      </c>
      <c r="G112">
        <v>85</v>
      </c>
    </row>
    <row r="113" spans="1:7" x14ac:dyDescent="0.2">
      <c r="A113">
        <v>20</v>
      </c>
      <c r="B113" s="2">
        <v>43109</v>
      </c>
      <c r="C113" t="s">
        <v>189</v>
      </c>
      <c r="D113" t="s">
        <v>26</v>
      </c>
      <c r="E113">
        <v>185</v>
      </c>
      <c r="F113">
        <v>118</v>
      </c>
      <c r="G113">
        <v>71</v>
      </c>
    </row>
    <row r="114" spans="1:7" x14ac:dyDescent="0.2">
      <c r="A114">
        <v>21</v>
      </c>
      <c r="B114" s="2">
        <v>39458</v>
      </c>
      <c r="C114" t="s">
        <v>239</v>
      </c>
      <c r="D114" t="s">
        <v>26</v>
      </c>
      <c r="E114">
        <v>159</v>
      </c>
      <c r="F114">
        <v>131</v>
      </c>
      <c r="G114">
        <v>101</v>
      </c>
    </row>
    <row r="115" spans="1:7" x14ac:dyDescent="0.2">
      <c r="A115">
        <v>22</v>
      </c>
      <c r="B115" s="2">
        <v>39449</v>
      </c>
      <c r="C115" t="s">
        <v>220</v>
      </c>
      <c r="D115" t="s">
        <v>26</v>
      </c>
      <c r="E115">
        <v>166</v>
      </c>
      <c r="F115">
        <v>125</v>
      </c>
      <c r="G115">
        <v>97</v>
      </c>
    </row>
    <row r="116" spans="1:7" x14ac:dyDescent="0.2">
      <c r="A116">
        <v>23</v>
      </c>
      <c r="B116" s="2">
        <v>39815</v>
      </c>
      <c r="C116" t="s">
        <v>190</v>
      </c>
      <c r="D116" t="s">
        <v>26</v>
      </c>
      <c r="E116">
        <v>169</v>
      </c>
      <c r="F116">
        <v>131</v>
      </c>
      <c r="G116">
        <v>94</v>
      </c>
    </row>
    <row r="117" spans="1:7" x14ac:dyDescent="0.2">
      <c r="A117">
        <v>24</v>
      </c>
      <c r="B117" s="2">
        <v>41278</v>
      </c>
      <c r="C117" t="s">
        <v>235</v>
      </c>
      <c r="D117" t="s">
        <v>26</v>
      </c>
      <c r="E117">
        <v>189</v>
      </c>
      <c r="F117">
        <v>108</v>
      </c>
      <c r="G117">
        <v>74</v>
      </c>
    </row>
    <row r="118" spans="1:7" x14ac:dyDescent="0.2">
      <c r="A118">
        <v>25</v>
      </c>
      <c r="B118" s="2">
        <v>39819</v>
      </c>
      <c r="C118" t="s">
        <v>194</v>
      </c>
      <c r="D118" t="s">
        <v>26</v>
      </c>
      <c r="E118">
        <v>163</v>
      </c>
      <c r="F118">
        <v>135</v>
      </c>
      <c r="G118">
        <v>100</v>
      </c>
    </row>
    <row r="119" spans="1:7" x14ac:dyDescent="0.2">
      <c r="A119">
        <v>26</v>
      </c>
      <c r="B119" s="2">
        <v>37262</v>
      </c>
      <c r="C119" t="s">
        <v>188</v>
      </c>
      <c r="D119" t="s">
        <v>26</v>
      </c>
      <c r="E119">
        <v>173</v>
      </c>
      <c r="F119">
        <v>112</v>
      </c>
      <c r="G119">
        <v>91</v>
      </c>
    </row>
    <row r="120" spans="1:7" x14ac:dyDescent="0.2">
      <c r="A120">
        <v>29</v>
      </c>
      <c r="B120" s="2">
        <v>40551</v>
      </c>
      <c r="C120" t="s">
        <v>245</v>
      </c>
      <c r="D120" t="s">
        <v>26</v>
      </c>
      <c r="E120">
        <v>175</v>
      </c>
      <c r="F120">
        <v>129</v>
      </c>
      <c r="G120">
        <v>95</v>
      </c>
    </row>
    <row r="121" spans="1:7" x14ac:dyDescent="0.2">
      <c r="A121">
        <v>30</v>
      </c>
      <c r="B121" s="2">
        <v>42377</v>
      </c>
      <c r="C121" t="s">
        <v>205</v>
      </c>
      <c r="D121" t="s">
        <v>26</v>
      </c>
      <c r="E121">
        <v>188</v>
      </c>
      <c r="F121">
        <v>115</v>
      </c>
      <c r="G121">
        <v>83</v>
      </c>
    </row>
    <row r="122" spans="1:7" x14ac:dyDescent="0.2">
      <c r="A122">
        <v>31</v>
      </c>
      <c r="B122" s="2">
        <v>37266</v>
      </c>
      <c r="C122" t="s">
        <v>196</v>
      </c>
      <c r="D122" t="s">
        <v>26</v>
      </c>
      <c r="E122">
        <v>165</v>
      </c>
      <c r="F122">
        <v>127</v>
      </c>
      <c r="G122">
        <v>106</v>
      </c>
    </row>
    <row r="123" spans="1:7" x14ac:dyDescent="0.2">
      <c r="A123">
        <v>33</v>
      </c>
      <c r="B123" s="2">
        <v>37629</v>
      </c>
      <c r="C123" t="s">
        <v>245</v>
      </c>
      <c r="D123" t="s">
        <v>26</v>
      </c>
      <c r="E123">
        <v>176</v>
      </c>
      <c r="F123">
        <v>132</v>
      </c>
      <c r="G123">
        <v>102</v>
      </c>
    </row>
    <row r="124" spans="1:7" x14ac:dyDescent="0.2">
      <c r="A124">
        <v>34</v>
      </c>
      <c r="B124" s="2">
        <v>37622</v>
      </c>
      <c r="C124" t="s">
        <v>243</v>
      </c>
      <c r="D124" t="s">
        <v>26</v>
      </c>
      <c r="E124">
        <v>176</v>
      </c>
      <c r="F124">
        <v>128</v>
      </c>
      <c r="G124">
        <v>103</v>
      </c>
    </row>
    <row r="125" spans="1:7" x14ac:dyDescent="0.2">
      <c r="A125">
        <v>35</v>
      </c>
      <c r="B125" s="2">
        <v>42738</v>
      </c>
      <c r="C125" t="s">
        <v>224</v>
      </c>
      <c r="D125" t="s">
        <v>26</v>
      </c>
      <c r="E125">
        <v>200</v>
      </c>
      <c r="F125">
        <v>116</v>
      </c>
      <c r="G125">
        <v>80</v>
      </c>
    </row>
    <row r="126" spans="1:7" x14ac:dyDescent="0.2">
      <c r="A126">
        <v>37</v>
      </c>
      <c r="B126" s="2">
        <v>37625</v>
      </c>
      <c r="C126" t="s">
        <v>193</v>
      </c>
      <c r="D126" t="s">
        <v>26</v>
      </c>
      <c r="E126">
        <v>177</v>
      </c>
      <c r="F126">
        <v>138</v>
      </c>
      <c r="G126">
        <v>103</v>
      </c>
    </row>
    <row r="127" spans="1:7" x14ac:dyDescent="0.2">
      <c r="A127">
        <v>40</v>
      </c>
      <c r="B127" s="2">
        <v>42738</v>
      </c>
      <c r="C127" t="s">
        <v>187</v>
      </c>
      <c r="D127" t="s">
        <v>26</v>
      </c>
      <c r="E127">
        <v>208</v>
      </c>
      <c r="F127">
        <v>114</v>
      </c>
      <c r="G127">
        <v>74</v>
      </c>
    </row>
    <row r="128" spans="1:7" x14ac:dyDescent="0.2">
      <c r="A128">
        <v>41</v>
      </c>
      <c r="B128" s="2">
        <v>39824</v>
      </c>
      <c r="C128" t="s">
        <v>221</v>
      </c>
      <c r="D128" t="s">
        <v>26</v>
      </c>
      <c r="E128">
        <v>180</v>
      </c>
      <c r="F128">
        <v>146</v>
      </c>
      <c r="G128">
        <v>104</v>
      </c>
    </row>
    <row r="129" spans="1:7" x14ac:dyDescent="0.2">
      <c r="A129">
        <v>42</v>
      </c>
      <c r="B129" s="2">
        <v>36892</v>
      </c>
      <c r="C129" t="s">
        <v>233</v>
      </c>
      <c r="D129" t="s">
        <v>26</v>
      </c>
      <c r="E129">
        <v>199</v>
      </c>
      <c r="F129">
        <v>121</v>
      </c>
      <c r="G129">
        <v>85</v>
      </c>
    </row>
    <row r="130" spans="1:7" x14ac:dyDescent="0.2">
      <c r="A130">
        <v>45</v>
      </c>
      <c r="B130" s="2">
        <v>37989</v>
      </c>
      <c r="C130" t="s">
        <v>184</v>
      </c>
      <c r="D130" t="s">
        <v>26</v>
      </c>
      <c r="E130">
        <v>184</v>
      </c>
      <c r="F130">
        <v>123</v>
      </c>
      <c r="G130">
        <v>103</v>
      </c>
    </row>
    <row r="131" spans="1:7" x14ac:dyDescent="0.2">
      <c r="A131">
        <v>48</v>
      </c>
      <c r="B131" s="2">
        <v>37987</v>
      </c>
      <c r="C131" t="s">
        <v>211</v>
      </c>
      <c r="D131" t="s">
        <v>26</v>
      </c>
      <c r="E131">
        <v>194</v>
      </c>
      <c r="F131">
        <v>131</v>
      </c>
      <c r="G131">
        <v>97</v>
      </c>
    </row>
    <row r="132" spans="1:7" x14ac:dyDescent="0.2">
      <c r="A132">
        <v>49</v>
      </c>
      <c r="B132" s="2">
        <v>37990</v>
      </c>
      <c r="C132" t="s">
        <v>206</v>
      </c>
      <c r="D132" t="s">
        <v>26</v>
      </c>
      <c r="E132">
        <v>181</v>
      </c>
      <c r="F132">
        <v>130</v>
      </c>
      <c r="G132">
        <v>110</v>
      </c>
    </row>
    <row r="133" spans="1:7" x14ac:dyDescent="0.2">
      <c r="A133">
        <v>50</v>
      </c>
      <c r="B133" s="2">
        <v>38727</v>
      </c>
      <c r="C133" t="s">
        <v>243</v>
      </c>
      <c r="D133" t="s">
        <v>26</v>
      </c>
      <c r="E133">
        <v>187</v>
      </c>
      <c r="F133">
        <v>139</v>
      </c>
      <c r="G133">
        <v>109</v>
      </c>
    </row>
    <row r="134" spans="1:7" x14ac:dyDescent="0.2">
      <c r="A134">
        <v>51</v>
      </c>
      <c r="B134" s="2">
        <v>36528</v>
      </c>
      <c r="C134" t="s">
        <v>181</v>
      </c>
      <c r="D134" t="s">
        <v>26</v>
      </c>
      <c r="E134">
        <v>191</v>
      </c>
      <c r="F134">
        <v>147</v>
      </c>
      <c r="G134">
        <v>104</v>
      </c>
    </row>
    <row r="135" spans="1:7" x14ac:dyDescent="0.2">
      <c r="A135">
        <v>53</v>
      </c>
      <c r="B135" s="2">
        <v>39824</v>
      </c>
      <c r="C135" t="s">
        <v>237</v>
      </c>
      <c r="D135" t="s">
        <v>26</v>
      </c>
      <c r="E135">
        <v>185</v>
      </c>
      <c r="F135">
        <v>154</v>
      </c>
      <c r="G135">
        <v>113</v>
      </c>
    </row>
    <row r="136" spans="1:7" x14ac:dyDescent="0.2">
      <c r="A136">
        <v>54</v>
      </c>
      <c r="B136" s="2">
        <v>42743</v>
      </c>
      <c r="C136" t="s">
        <v>205</v>
      </c>
      <c r="D136" t="s">
        <v>26</v>
      </c>
      <c r="E136">
        <v>204</v>
      </c>
      <c r="F136">
        <v>134</v>
      </c>
      <c r="G136">
        <v>95</v>
      </c>
    </row>
    <row r="137" spans="1:7" x14ac:dyDescent="0.2">
      <c r="A137">
        <v>55</v>
      </c>
      <c r="B137" s="2">
        <v>37259</v>
      </c>
      <c r="C137" t="s">
        <v>207</v>
      </c>
      <c r="D137" t="s">
        <v>26</v>
      </c>
      <c r="E137">
        <v>197</v>
      </c>
      <c r="F137">
        <v>138</v>
      </c>
      <c r="G137">
        <v>102</v>
      </c>
    </row>
    <row r="138" spans="1:7" x14ac:dyDescent="0.2">
      <c r="A138">
        <v>56</v>
      </c>
      <c r="B138" s="2">
        <v>39086</v>
      </c>
      <c r="C138" t="s">
        <v>246</v>
      </c>
      <c r="D138" t="s">
        <v>26</v>
      </c>
      <c r="E138">
        <v>173</v>
      </c>
      <c r="F138">
        <v>146</v>
      </c>
      <c r="G138">
        <v>128</v>
      </c>
    </row>
    <row r="139" spans="1:7" x14ac:dyDescent="0.2">
      <c r="A139">
        <v>57</v>
      </c>
      <c r="B139" s="2">
        <v>42738</v>
      </c>
      <c r="C139" t="s">
        <v>205</v>
      </c>
      <c r="D139" t="s">
        <v>26</v>
      </c>
      <c r="E139">
        <v>211</v>
      </c>
      <c r="F139">
        <v>129</v>
      </c>
      <c r="G139">
        <v>90</v>
      </c>
    </row>
    <row r="140" spans="1:7" x14ac:dyDescent="0.2">
      <c r="A140">
        <v>59</v>
      </c>
      <c r="B140" s="2">
        <v>37623</v>
      </c>
      <c r="C140" t="s">
        <v>199</v>
      </c>
      <c r="D140" t="s">
        <v>26</v>
      </c>
      <c r="E140">
        <v>192</v>
      </c>
      <c r="F140">
        <v>144</v>
      </c>
      <c r="G140">
        <v>112</v>
      </c>
    </row>
    <row r="141" spans="1:7" x14ac:dyDescent="0.2">
      <c r="A141">
        <v>60</v>
      </c>
      <c r="B141" s="2">
        <v>42742</v>
      </c>
      <c r="C141" t="s">
        <v>254</v>
      </c>
      <c r="D141" t="s">
        <v>26</v>
      </c>
      <c r="E141">
        <v>198</v>
      </c>
      <c r="F141">
        <v>135</v>
      </c>
      <c r="G141">
        <v>106</v>
      </c>
    </row>
    <row r="142" spans="1:7" x14ac:dyDescent="0.2">
      <c r="A142">
        <v>61</v>
      </c>
      <c r="B142" s="2">
        <v>36901</v>
      </c>
      <c r="C142" t="s">
        <v>195</v>
      </c>
      <c r="D142" t="s">
        <v>26</v>
      </c>
      <c r="E142">
        <v>191</v>
      </c>
      <c r="F142">
        <v>136</v>
      </c>
      <c r="G142">
        <v>115</v>
      </c>
    </row>
    <row r="143" spans="1:7" x14ac:dyDescent="0.2">
      <c r="A143">
        <v>63</v>
      </c>
      <c r="B143" s="2">
        <v>38723</v>
      </c>
      <c r="C143" t="s">
        <v>252</v>
      </c>
      <c r="D143" t="s">
        <v>26</v>
      </c>
      <c r="E143">
        <v>207</v>
      </c>
      <c r="F143">
        <v>155</v>
      </c>
      <c r="G143">
        <v>100</v>
      </c>
    </row>
    <row r="144" spans="1:7" x14ac:dyDescent="0.2">
      <c r="A144">
        <v>64</v>
      </c>
      <c r="B144" s="2">
        <v>37626</v>
      </c>
      <c r="C144" t="s">
        <v>194</v>
      </c>
      <c r="D144" t="s">
        <v>26</v>
      </c>
      <c r="E144">
        <v>174</v>
      </c>
      <c r="F144">
        <v>146</v>
      </c>
      <c r="G144">
        <v>132</v>
      </c>
    </row>
    <row r="145" spans="1:7" x14ac:dyDescent="0.2">
      <c r="A145">
        <v>66</v>
      </c>
      <c r="B145" s="2">
        <v>40181</v>
      </c>
      <c r="C145" t="s">
        <v>251</v>
      </c>
      <c r="D145" t="s">
        <v>26</v>
      </c>
      <c r="E145">
        <v>208</v>
      </c>
      <c r="F145">
        <v>148</v>
      </c>
      <c r="G145">
        <v>102</v>
      </c>
    </row>
    <row r="146" spans="1:7" x14ac:dyDescent="0.2">
      <c r="A146">
        <v>68</v>
      </c>
      <c r="B146" s="2">
        <v>40190</v>
      </c>
      <c r="C146" t="s">
        <v>184</v>
      </c>
      <c r="D146" t="s">
        <v>26</v>
      </c>
      <c r="E146">
        <v>179</v>
      </c>
      <c r="F146">
        <v>150</v>
      </c>
      <c r="G146">
        <v>132</v>
      </c>
    </row>
    <row r="147" spans="1:7" x14ac:dyDescent="0.2">
      <c r="A147">
        <v>70</v>
      </c>
      <c r="B147" s="2">
        <v>41277</v>
      </c>
      <c r="C147" t="s">
        <v>189</v>
      </c>
      <c r="D147" t="s">
        <v>26</v>
      </c>
      <c r="E147">
        <v>202</v>
      </c>
      <c r="F147">
        <v>136</v>
      </c>
      <c r="G147">
        <v>112</v>
      </c>
    </row>
    <row r="148" spans="1:7" x14ac:dyDescent="0.2">
      <c r="A148">
        <v>71</v>
      </c>
      <c r="B148" s="2">
        <v>37631</v>
      </c>
      <c r="C148" t="s">
        <v>207</v>
      </c>
      <c r="D148" t="s">
        <v>26</v>
      </c>
      <c r="E148">
        <v>203</v>
      </c>
      <c r="F148">
        <v>149</v>
      </c>
      <c r="G148">
        <v>111</v>
      </c>
    </row>
    <row r="149" spans="1:7" x14ac:dyDescent="0.2">
      <c r="A149">
        <v>72</v>
      </c>
      <c r="B149" s="2">
        <v>39084</v>
      </c>
      <c r="C149" t="s">
        <v>240</v>
      </c>
      <c r="D149" t="s">
        <v>26</v>
      </c>
      <c r="E149">
        <v>188</v>
      </c>
      <c r="F149">
        <v>158</v>
      </c>
      <c r="G149">
        <v>127</v>
      </c>
    </row>
    <row r="150" spans="1:7" x14ac:dyDescent="0.2">
      <c r="A150">
        <v>73</v>
      </c>
      <c r="B150" s="2">
        <v>37258</v>
      </c>
      <c r="C150" t="s">
        <v>245</v>
      </c>
      <c r="D150" t="s">
        <v>26</v>
      </c>
      <c r="E150">
        <v>197</v>
      </c>
      <c r="F150">
        <v>152</v>
      </c>
      <c r="G150">
        <v>118</v>
      </c>
    </row>
    <row r="151" spans="1:7" x14ac:dyDescent="0.2">
      <c r="A151">
        <v>75</v>
      </c>
      <c r="B151" s="2">
        <v>40912</v>
      </c>
      <c r="C151" t="s">
        <v>215</v>
      </c>
      <c r="D151" t="s">
        <v>26</v>
      </c>
      <c r="E151">
        <v>195</v>
      </c>
      <c r="F151">
        <v>156</v>
      </c>
      <c r="G151">
        <v>122</v>
      </c>
    </row>
    <row r="152" spans="1:7" x14ac:dyDescent="0.2">
      <c r="A152">
        <v>76</v>
      </c>
      <c r="B152" s="2">
        <v>42739</v>
      </c>
      <c r="C152" t="s">
        <v>247</v>
      </c>
      <c r="D152" t="s">
        <v>26</v>
      </c>
      <c r="E152">
        <v>206</v>
      </c>
      <c r="F152">
        <v>150</v>
      </c>
      <c r="G152">
        <v>111</v>
      </c>
    </row>
    <row r="153" spans="1:7" x14ac:dyDescent="0.2">
      <c r="A153">
        <v>77</v>
      </c>
      <c r="B153" s="2">
        <v>41649</v>
      </c>
      <c r="C153" t="s">
        <v>239</v>
      </c>
      <c r="D153" t="s">
        <v>26</v>
      </c>
      <c r="E153">
        <v>221</v>
      </c>
      <c r="F153">
        <v>129</v>
      </c>
      <c r="G153">
        <v>98</v>
      </c>
    </row>
    <row r="154" spans="1:7" x14ac:dyDescent="0.2">
      <c r="A154">
        <v>78</v>
      </c>
      <c r="B154" s="2">
        <v>42013</v>
      </c>
      <c r="C154" t="s">
        <v>189</v>
      </c>
      <c r="D154" t="s">
        <v>26</v>
      </c>
      <c r="E154">
        <v>187</v>
      </c>
      <c r="F154">
        <v>144</v>
      </c>
      <c r="G154">
        <v>133</v>
      </c>
    </row>
    <row r="155" spans="1:7" x14ac:dyDescent="0.2">
      <c r="A155">
        <v>79</v>
      </c>
      <c r="B155" s="2">
        <v>39453</v>
      </c>
      <c r="C155" t="s">
        <v>245</v>
      </c>
      <c r="D155" t="s">
        <v>26</v>
      </c>
      <c r="E155">
        <v>187</v>
      </c>
      <c r="F155">
        <v>161</v>
      </c>
      <c r="G155">
        <v>134</v>
      </c>
    </row>
    <row r="156" spans="1:7" x14ac:dyDescent="0.2">
      <c r="A156">
        <v>80</v>
      </c>
      <c r="B156" s="2">
        <v>39087</v>
      </c>
      <c r="C156" t="s">
        <v>209</v>
      </c>
      <c r="D156" t="s">
        <v>26</v>
      </c>
      <c r="E156">
        <v>195</v>
      </c>
      <c r="F156">
        <v>150</v>
      </c>
      <c r="G156">
        <v>126</v>
      </c>
    </row>
    <row r="157" spans="1:7" x14ac:dyDescent="0.2">
      <c r="A157">
        <v>81</v>
      </c>
      <c r="B157" s="2">
        <v>37627</v>
      </c>
      <c r="C157" t="s">
        <v>239</v>
      </c>
      <c r="D157" t="s">
        <v>26</v>
      </c>
      <c r="E157">
        <v>180</v>
      </c>
      <c r="F157">
        <v>155</v>
      </c>
      <c r="G157">
        <v>141</v>
      </c>
    </row>
    <row r="158" spans="1:7" x14ac:dyDescent="0.2">
      <c r="A158">
        <v>83</v>
      </c>
      <c r="B158" s="2">
        <v>43108</v>
      </c>
      <c r="C158" t="s">
        <v>244</v>
      </c>
      <c r="D158" t="s">
        <v>26</v>
      </c>
      <c r="E158">
        <v>202</v>
      </c>
      <c r="F158">
        <v>163</v>
      </c>
      <c r="G158">
        <v>120</v>
      </c>
    </row>
    <row r="159" spans="1:7" x14ac:dyDescent="0.2">
      <c r="A159">
        <v>84</v>
      </c>
      <c r="B159" s="2">
        <v>37264</v>
      </c>
      <c r="C159" t="s">
        <v>211</v>
      </c>
      <c r="D159" t="s">
        <v>26</v>
      </c>
      <c r="E159">
        <v>205</v>
      </c>
      <c r="F159">
        <v>148</v>
      </c>
      <c r="G159">
        <v>118</v>
      </c>
    </row>
    <row r="160" spans="1:7" x14ac:dyDescent="0.2">
      <c r="A160">
        <v>85</v>
      </c>
      <c r="B160" s="2">
        <v>39821</v>
      </c>
      <c r="C160" t="s">
        <v>196</v>
      </c>
      <c r="D160" t="s">
        <v>26</v>
      </c>
      <c r="E160">
        <v>184</v>
      </c>
      <c r="F160">
        <v>156</v>
      </c>
      <c r="G160">
        <v>139</v>
      </c>
    </row>
    <row r="161" spans="1:7" x14ac:dyDescent="0.2">
      <c r="A161">
        <v>86</v>
      </c>
      <c r="B161" s="2">
        <v>39448</v>
      </c>
      <c r="C161" t="s">
        <v>221</v>
      </c>
      <c r="D161" t="s">
        <v>26</v>
      </c>
      <c r="E161">
        <v>203</v>
      </c>
      <c r="F161">
        <v>153</v>
      </c>
      <c r="G161">
        <v>120</v>
      </c>
    </row>
    <row r="162" spans="1:7" x14ac:dyDescent="0.2">
      <c r="A162">
        <v>87</v>
      </c>
      <c r="B162" s="2">
        <v>41648</v>
      </c>
      <c r="C162" t="s">
        <v>219</v>
      </c>
      <c r="D162" t="s">
        <v>26</v>
      </c>
      <c r="E162">
        <v>211</v>
      </c>
      <c r="F162">
        <v>144</v>
      </c>
      <c r="G162">
        <v>113</v>
      </c>
    </row>
    <row r="163" spans="1:7" x14ac:dyDescent="0.2">
      <c r="A163">
        <v>90</v>
      </c>
      <c r="B163" s="2">
        <v>42016</v>
      </c>
      <c r="C163" t="s">
        <v>214</v>
      </c>
      <c r="D163" t="s">
        <v>26</v>
      </c>
      <c r="E163">
        <v>211</v>
      </c>
      <c r="F163">
        <v>156</v>
      </c>
      <c r="G163">
        <v>113</v>
      </c>
    </row>
    <row r="164" spans="1:7" x14ac:dyDescent="0.2">
      <c r="A164">
        <v>95</v>
      </c>
      <c r="B164" s="2">
        <v>39450</v>
      </c>
      <c r="C164" t="s">
        <v>201</v>
      </c>
      <c r="D164" t="s">
        <v>26</v>
      </c>
      <c r="E164">
        <v>200</v>
      </c>
      <c r="F164">
        <v>154</v>
      </c>
      <c r="G164">
        <v>126</v>
      </c>
    </row>
    <row r="165" spans="1:7" x14ac:dyDescent="0.2">
      <c r="A165">
        <v>96</v>
      </c>
      <c r="B165" s="2">
        <v>40187</v>
      </c>
      <c r="C165" t="s">
        <v>208</v>
      </c>
      <c r="D165" t="s">
        <v>26</v>
      </c>
      <c r="E165">
        <v>209</v>
      </c>
      <c r="F165">
        <v>157</v>
      </c>
      <c r="G165">
        <v>117</v>
      </c>
    </row>
    <row r="166" spans="1:7" x14ac:dyDescent="0.2">
      <c r="A166">
        <v>97</v>
      </c>
      <c r="B166" s="2">
        <v>41647</v>
      </c>
      <c r="C166" t="s">
        <v>190</v>
      </c>
      <c r="D166" t="s">
        <v>26</v>
      </c>
      <c r="E166">
        <v>207</v>
      </c>
      <c r="F166">
        <v>155</v>
      </c>
      <c r="G166">
        <v>121</v>
      </c>
    </row>
    <row r="167" spans="1:7" x14ac:dyDescent="0.2">
      <c r="A167">
        <v>99</v>
      </c>
      <c r="B167" s="2">
        <v>37628</v>
      </c>
      <c r="C167" t="s">
        <v>200</v>
      </c>
      <c r="D167" t="s">
        <v>26</v>
      </c>
      <c r="E167">
        <v>195</v>
      </c>
      <c r="F167">
        <v>158</v>
      </c>
      <c r="G167">
        <v>134</v>
      </c>
    </row>
    <row r="168" spans="1:7" x14ac:dyDescent="0.2">
      <c r="A168">
        <v>101</v>
      </c>
      <c r="B168" s="2">
        <v>42007</v>
      </c>
      <c r="C168" t="s">
        <v>219</v>
      </c>
      <c r="D168" t="s">
        <v>26</v>
      </c>
      <c r="E168">
        <v>219</v>
      </c>
      <c r="F168">
        <v>141</v>
      </c>
      <c r="G168">
        <v>110</v>
      </c>
    </row>
    <row r="169" spans="1:7" x14ac:dyDescent="0.2">
      <c r="A169">
        <v>104</v>
      </c>
      <c r="B169" s="2">
        <v>42745</v>
      </c>
      <c r="C169" t="s">
        <v>242</v>
      </c>
      <c r="D169" t="s">
        <v>26</v>
      </c>
      <c r="E169">
        <v>195</v>
      </c>
      <c r="F169">
        <v>153</v>
      </c>
      <c r="G169">
        <v>135</v>
      </c>
    </row>
    <row r="170" spans="1:7" x14ac:dyDescent="0.2">
      <c r="A170">
        <v>106</v>
      </c>
      <c r="B170" s="2">
        <v>41648</v>
      </c>
      <c r="C170" t="s">
        <v>186</v>
      </c>
      <c r="D170" t="s">
        <v>26</v>
      </c>
      <c r="E170">
        <v>213</v>
      </c>
      <c r="F170">
        <v>147</v>
      </c>
      <c r="G170">
        <v>118</v>
      </c>
    </row>
    <row r="171" spans="1:7" x14ac:dyDescent="0.2">
      <c r="A171">
        <v>107</v>
      </c>
      <c r="B171" s="2">
        <v>39814</v>
      </c>
      <c r="C171" t="s">
        <v>185</v>
      </c>
      <c r="D171" t="s">
        <v>26</v>
      </c>
      <c r="E171">
        <v>222</v>
      </c>
      <c r="F171">
        <v>163</v>
      </c>
      <c r="G171">
        <v>109</v>
      </c>
    </row>
    <row r="172" spans="1:7" x14ac:dyDescent="0.2">
      <c r="A172">
        <v>108</v>
      </c>
      <c r="B172" s="2">
        <v>42007</v>
      </c>
      <c r="C172" t="s">
        <v>250</v>
      </c>
      <c r="D172" t="s">
        <v>26</v>
      </c>
      <c r="E172">
        <v>221</v>
      </c>
      <c r="F172">
        <v>143</v>
      </c>
      <c r="G172">
        <v>110</v>
      </c>
    </row>
    <row r="173" spans="1:7" x14ac:dyDescent="0.2">
      <c r="A173">
        <v>109</v>
      </c>
      <c r="B173" s="2">
        <v>38355</v>
      </c>
      <c r="C173" t="s">
        <v>243</v>
      </c>
      <c r="D173" t="s">
        <v>26</v>
      </c>
      <c r="E173">
        <v>215</v>
      </c>
      <c r="F173">
        <v>162</v>
      </c>
      <c r="G173">
        <v>116</v>
      </c>
    </row>
    <row r="174" spans="1:7" x14ac:dyDescent="0.2">
      <c r="A174">
        <v>116</v>
      </c>
      <c r="B174" s="2">
        <v>40914</v>
      </c>
      <c r="C174" t="s">
        <v>210</v>
      </c>
      <c r="D174" t="s">
        <v>26</v>
      </c>
      <c r="E174">
        <v>205</v>
      </c>
      <c r="F174">
        <v>161</v>
      </c>
      <c r="G174">
        <v>130</v>
      </c>
    </row>
    <row r="175" spans="1:7" x14ac:dyDescent="0.2">
      <c r="A175">
        <v>118</v>
      </c>
      <c r="B175" s="2">
        <v>36536</v>
      </c>
      <c r="C175" t="s">
        <v>232</v>
      </c>
      <c r="D175" t="s">
        <v>26</v>
      </c>
      <c r="E175">
        <v>211</v>
      </c>
      <c r="F175">
        <v>168</v>
      </c>
      <c r="G175">
        <v>125</v>
      </c>
    </row>
    <row r="176" spans="1:7" x14ac:dyDescent="0.2">
      <c r="A176">
        <v>120</v>
      </c>
      <c r="B176" s="2">
        <v>40184</v>
      </c>
      <c r="C176" t="s">
        <v>190</v>
      </c>
      <c r="D176" t="s">
        <v>26</v>
      </c>
      <c r="E176">
        <v>213</v>
      </c>
      <c r="F176">
        <v>162</v>
      </c>
      <c r="G176">
        <v>124</v>
      </c>
    </row>
    <row r="177" spans="1:7" x14ac:dyDescent="0.2">
      <c r="A177">
        <v>121</v>
      </c>
      <c r="B177" s="2">
        <v>42010</v>
      </c>
      <c r="C177" t="s">
        <v>180</v>
      </c>
      <c r="D177" t="s">
        <v>26</v>
      </c>
      <c r="E177">
        <v>213</v>
      </c>
      <c r="F177">
        <v>155</v>
      </c>
      <c r="G177">
        <v>124</v>
      </c>
    </row>
    <row r="178" spans="1:7" x14ac:dyDescent="0.2">
      <c r="A178">
        <v>122</v>
      </c>
      <c r="B178" s="2">
        <v>37633</v>
      </c>
      <c r="C178" t="s">
        <v>240</v>
      </c>
      <c r="D178" t="s">
        <v>26</v>
      </c>
      <c r="E178">
        <v>193</v>
      </c>
      <c r="F178">
        <v>166</v>
      </c>
      <c r="G178">
        <v>145</v>
      </c>
    </row>
    <row r="179" spans="1:7" x14ac:dyDescent="0.2">
      <c r="A179">
        <v>123</v>
      </c>
      <c r="B179" s="2">
        <v>36529</v>
      </c>
      <c r="C179" t="s">
        <v>195</v>
      </c>
      <c r="D179" t="s">
        <v>26</v>
      </c>
      <c r="E179">
        <v>223</v>
      </c>
      <c r="F179">
        <v>157</v>
      </c>
      <c r="G179">
        <v>115</v>
      </c>
    </row>
    <row r="180" spans="1:7" x14ac:dyDescent="0.2">
      <c r="A180">
        <v>124</v>
      </c>
      <c r="B180" s="2">
        <v>42744</v>
      </c>
      <c r="C180" t="s">
        <v>214</v>
      </c>
      <c r="D180" t="s">
        <v>26</v>
      </c>
      <c r="E180">
        <v>193</v>
      </c>
      <c r="F180">
        <v>153</v>
      </c>
      <c r="G180">
        <v>146</v>
      </c>
    </row>
    <row r="181" spans="1:7" x14ac:dyDescent="0.2">
      <c r="A181">
        <v>129</v>
      </c>
      <c r="B181" s="2">
        <v>38726</v>
      </c>
      <c r="C181" t="s">
        <v>226</v>
      </c>
      <c r="D181" t="s">
        <v>26</v>
      </c>
      <c r="E181">
        <v>190</v>
      </c>
      <c r="F181">
        <v>163</v>
      </c>
      <c r="G181">
        <v>152</v>
      </c>
    </row>
    <row r="182" spans="1:7" x14ac:dyDescent="0.2">
      <c r="A182">
        <v>131</v>
      </c>
      <c r="B182" s="2">
        <v>40183</v>
      </c>
      <c r="C182" t="s">
        <v>245</v>
      </c>
      <c r="D182" t="s">
        <v>26</v>
      </c>
      <c r="E182">
        <v>215</v>
      </c>
      <c r="F182">
        <v>168</v>
      </c>
      <c r="G182">
        <v>127</v>
      </c>
    </row>
    <row r="183" spans="1:7" x14ac:dyDescent="0.2">
      <c r="A183">
        <v>132</v>
      </c>
      <c r="B183" s="2">
        <v>37991</v>
      </c>
      <c r="C183" t="s">
        <v>237</v>
      </c>
      <c r="D183" t="s">
        <v>26</v>
      </c>
      <c r="E183">
        <v>208</v>
      </c>
      <c r="F183">
        <v>164</v>
      </c>
      <c r="G183">
        <v>134</v>
      </c>
    </row>
    <row r="184" spans="1:7" x14ac:dyDescent="0.2">
      <c r="A184">
        <v>133</v>
      </c>
      <c r="B184" s="2">
        <v>37257</v>
      </c>
      <c r="C184" t="s">
        <v>218</v>
      </c>
      <c r="D184" t="s">
        <v>26</v>
      </c>
      <c r="E184">
        <v>207</v>
      </c>
      <c r="F184">
        <v>156</v>
      </c>
      <c r="G184">
        <v>135</v>
      </c>
    </row>
    <row r="185" spans="1:7" x14ac:dyDescent="0.2">
      <c r="A185">
        <v>139</v>
      </c>
      <c r="B185" s="2">
        <v>37630</v>
      </c>
      <c r="C185" t="s">
        <v>237</v>
      </c>
      <c r="D185" t="s">
        <v>26</v>
      </c>
      <c r="E185">
        <v>201</v>
      </c>
      <c r="F185">
        <v>164</v>
      </c>
      <c r="G185">
        <v>143</v>
      </c>
    </row>
    <row r="186" spans="1:7" x14ac:dyDescent="0.2">
      <c r="A186">
        <v>140</v>
      </c>
      <c r="B186" s="2">
        <v>38360</v>
      </c>
      <c r="C186" t="s">
        <v>231</v>
      </c>
      <c r="D186" t="s">
        <v>26</v>
      </c>
      <c r="E186">
        <v>203</v>
      </c>
      <c r="F186">
        <v>167</v>
      </c>
      <c r="G186">
        <v>141</v>
      </c>
    </row>
    <row r="187" spans="1:7" x14ac:dyDescent="0.2">
      <c r="A187">
        <v>141</v>
      </c>
      <c r="B187" s="2">
        <v>38718</v>
      </c>
      <c r="C187" t="s">
        <v>249</v>
      </c>
      <c r="D187" t="s">
        <v>26</v>
      </c>
      <c r="E187">
        <v>205</v>
      </c>
      <c r="F187">
        <v>170</v>
      </c>
      <c r="G187">
        <v>139</v>
      </c>
    </row>
    <row r="188" spans="1:7" x14ac:dyDescent="0.2">
      <c r="A188">
        <v>142</v>
      </c>
      <c r="B188" s="2">
        <v>38719</v>
      </c>
      <c r="C188" t="s">
        <v>201</v>
      </c>
      <c r="D188" t="s">
        <v>26</v>
      </c>
      <c r="E188">
        <v>218</v>
      </c>
      <c r="F188">
        <v>169</v>
      </c>
      <c r="G188">
        <v>126</v>
      </c>
    </row>
    <row r="189" spans="1:7" x14ac:dyDescent="0.2">
      <c r="A189">
        <v>144</v>
      </c>
      <c r="B189" s="2">
        <v>37992</v>
      </c>
      <c r="C189" t="s">
        <v>221</v>
      </c>
      <c r="D189" t="s">
        <v>26</v>
      </c>
      <c r="E189">
        <v>212</v>
      </c>
      <c r="F189">
        <v>170</v>
      </c>
      <c r="G189">
        <v>133</v>
      </c>
    </row>
    <row r="190" spans="1:7" x14ac:dyDescent="0.2">
      <c r="A190">
        <v>145</v>
      </c>
      <c r="B190" s="2">
        <v>38729</v>
      </c>
      <c r="C190" t="s">
        <v>237</v>
      </c>
      <c r="D190" t="s">
        <v>26</v>
      </c>
      <c r="E190">
        <v>197</v>
      </c>
      <c r="F190">
        <v>173</v>
      </c>
      <c r="G190">
        <v>148</v>
      </c>
    </row>
    <row r="191" spans="1:7" x14ac:dyDescent="0.2">
      <c r="A191">
        <v>146</v>
      </c>
      <c r="B191" s="2">
        <v>39091</v>
      </c>
      <c r="C191" t="s">
        <v>249</v>
      </c>
      <c r="D191" t="s">
        <v>26</v>
      </c>
      <c r="E191">
        <v>205</v>
      </c>
      <c r="F191">
        <v>162</v>
      </c>
      <c r="G191">
        <v>141</v>
      </c>
    </row>
    <row r="192" spans="1:7" x14ac:dyDescent="0.2">
      <c r="A192">
        <v>149</v>
      </c>
      <c r="B192" s="2">
        <v>38721</v>
      </c>
      <c r="C192" t="s">
        <v>211</v>
      </c>
      <c r="D192" t="s">
        <v>26</v>
      </c>
      <c r="E192">
        <v>223</v>
      </c>
      <c r="F192">
        <v>176</v>
      </c>
      <c r="G192">
        <v>123</v>
      </c>
    </row>
    <row r="193" spans="1:7" x14ac:dyDescent="0.2">
      <c r="A193">
        <v>152</v>
      </c>
      <c r="B193" s="2">
        <v>36899</v>
      </c>
      <c r="C193" t="s">
        <v>181</v>
      </c>
      <c r="D193" t="s">
        <v>26</v>
      </c>
      <c r="E193">
        <v>201</v>
      </c>
      <c r="F193">
        <v>165</v>
      </c>
      <c r="G193">
        <v>148</v>
      </c>
    </row>
    <row r="194" spans="1:7" x14ac:dyDescent="0.2">
      <c r="A194">
        <v>153</v>
      </c>
      <c r="B194" s="2">
        <v>39820</v>
      </c>
      <c r="C194" t="s">
        <v>249</v>
      </c>
      <c r="D194" t="s">
        <v>26</v>
      </c>
      <c r="E194">
        <v>219</v>
      </c>
      <c r="F194">
        <v>169</v>
      </c>
      <c r="G194">
        <v>129</v>
      </c>
    </row>
    <row r="195" spans="1:7" x14ac:dyDescent="0.2">
      <c r="A195">
        <v>154</v>
      </c>
      <c r="B195" s="2">
        <v>38363</v>
      </c>
      <c r="C195" t="s">
        <v>239</v>
      </c>
      <c r="D195" t="s">
        <v>26</v>
      </c>
      <c r="E195">
        <v>204</v>
      </c>
      <c r="F195">
        <v>167</v>
      </c>
      <c r="G195">
        <v>144</v>
      </c>
    </row>
    <row r="196" spans="1:7" x14ac:dyDescent="0.2">
      <c r="A196">
        <v>155</v>
      </c>
      <c r="B196" s="2">
        <v>40180</v>
      </c>
      <c r="C196" t="s">
        <v>216</v>
      </c>
      <c r="D196" t="s">
        <v>26</v>
      </c>
      <c r="E196">
        <v>209</v>
      </c>
      <c r="F196">
        <v>164</v>
      </c>
      <c r="G196">
        <v>140</v>
      </c>
    </row>
    <row r="197" spans="1:7" x14ac:dyDescent="0.2">
      <c r="A197">
        <v>157</v>
      </c>
      <c r="B197" s="2">
        <v>41280</v>
      </c>
      <c r="C197" t="s">
        <v>222</v>
      </c>
      <c r="D197" t="s">
        <v>26</v>
      </c>
      <c r="E197">
        <v>221</v>
      </c>
      <c r="F197">
        <v>166</v>
      </c>
      <c r="G197">
        <v>129</v>
      </c>
    </row>
    <row r="198" spans="1:7" x14ac:dyDescent="0.2">
      <c r="A198">
        <v>158</v>
      </c>
      <c r="B198" s="2">
        <v>36527</v>
      </c>
      <c r="C198" t="s">
        <v>183</v>
      </c>
      <c r="D198" t="s">
        <v>26</v>
      </c>
      <c r="E198">
        <v>202</v>
      </c>
      <c r="F198">
        <v>156</v>
      </c>
      <c r="G198">
        <v>148</v>
      </c>
    </row>
    <row r="199" spans="1:7" x14ac:dyDescent="0.2">
      <c r="A199">
        <v>160</v>
      </c>
      <c r="B199" s="2">
        <v>38362</v>
      </c>
      <c r="C199" t="s">
        <v>207</v>
      </c>
      <c r="D199" t="s">
        <v>26</v>
      </c>
      <c r="E199">
        <v>220</v>
      </c>
      <c r="F199">
        <v>171</v>
      </c>
      <c r="G199">
        <v>130</v>
      </c>
    </row>
    <row r="200" spans="1:7" x14ac:dyDescent="0.2">
      <c r="A200">
        <v>161</v>
      </c>
      <c r="B200" s="2">
        <v>38353</v>
      </c>
      <c r="C200" t="s">
        <v>215</v>
      </c>
      <c r="D200" t="s">
        <v>26</v>
      </c>
      <c r="E200">
        <v>209</v>
      </c>
      <c r="F200">
        <v>165</v>
      </c>
      <c r="G200">
        <v>141</v>
      </c>
    </row>
    <row r="201" spans="1:7" x14ac:dyDescent="0.2">
      <c r="A201">
        <v>165</v>
      </c>
      <c r="B201" s="2">
        <v>42005</v>
      </c>
      <c r="C201" t="s">
        <v>249</v>
      </c>
      <c r="D201" t="s">
        <v>26</v>
      </c>
      <c r="E201">
        <v>220</v>
      </c>
      <c r="F201">
        <v>164</v>
      </c>
      <c r="G201">
        <v>132</v>
      </c>
    </row>
    <row r="202" spans="1:7" x14ac:dyDescent="0.2">
      <c r="A202">
        <v>167</v>
      </c>
      <c r="B202" s="2">
        <v>37993</v>
      </c>
      <c r="C202" t="s">
        <v>226</v>
      </c>
      <c r="D202" t="s">
        <v>26</v>
      </c>
      <c r="E202">
        <v>239</v>
      </c>
      <c r="F202">
        <v>186</v>
      </c>
      <c r="G202">
        <v>116</v>
      </c>
    </row>
    <row r="203" spans="1:7" x14ac:dyDescent="0.2">
      <c r="A203">
        <v>169</v>
      </c>
      <c r="B203" s="2">
        <v>40548</v>
      </c>
      <c r="C203" t="s">
        <v>239</v>
      </c>
      <c r="D203" t="s">
        <v>26</v>
      </c>
      <c r="E203">
        <v>211</v>
      </c>
      <c r="F203">
        <v>177</v>
      </c>
      <c r="G203">
        <v>146</v>
      </c>
    </row>
    <row r="204" spans="1:7" x14ac:dyDescent="0.2">
      <c r="A204">
        <v>170</v>
      </c>
      <c r="B204" s="2">
        <v>36536</v>
      </c>
      <c r="C204" t="s">
        <v>183</v>
      </c>
      <c r="D204" t="s">
        <v>26</v>
      </c>
      <c r="E204">
        <v>219</v>
      </c>
      <c r="F204">
        <v>175</v>
      </c>
      <c r="G204">
        <v>139</v>
      </c>
    </row>
    <row r="205" spans="1:7" x14ac:dyDescent="0.2">
      <c r="A205">
        <v>171</v>
      </c>
      <c r="B205" s="2">
        <v>37632</v>
      </c>
      <c r="C205" t="s">
        <v>252</v>
      </c>
      <c r="D205" t="s">
        <v>26</v>
      </c>
      <c r="E205">
        <v>206</v>
      </c>
      <c r="F205">
        <v>176</v>
      </c>
      <c r="G205">
        <v>152</v>
      </c>
    </row>
    <row r="206" spans="1:7" x14ac:dyDescent="0.2">
      <c r="A206">
        <v>172</v>
      </c>
      <c r="B206" s="2">
        <v>39083</v>
      </c>
      <c r="C206" t="s">
        <v>184</v>
      </c>
      <c r="D206" t="s">
        <v>26</v>
      </c>
      <c r="E206">
        <v>220</v>
      </c>
      <c r="F206">
        <v>173</v>
      </c>
      <c r="G206">
        <v>139</v>
      </c>
    </row>
    <row r="207" spans="1:7" x14ac:dyDescent="0.2">
      <c r="A207">
        <v>175</v>
      </c>
      <c r="B207" s="2">
        <v>36902</v>
      </c>
      <c r="C207" t="s">
        <v>192</v>
      </c>
      <c r="D207" t="s">
        <v>26</v>
      </c>
      <c r="E207">
        <v>219</v>
      </c>
      <c r="F207">
        <v>170</v>
      </c>
      <c r="G207">
        <v>142</v>
      </c>
    </row>
    <row r="208" spans="1:7" x14ac:dyDescent="0.2">
      <c r="A208">
        <v>176</v>
      </c>
      <c r="B208" s="2">
        <v>42012</v>
      </c>
      <c r="C208" t="s">
        <v>237</v>
      </c>
      <c r="D208" t="s">
        <v>26</v>
      </c>
      <c r="E208">
        <v>219</v>
      </c>
      <c r="F208">
        <v>170</v>
      </c>
      <c r="G208">
        <v>141</v>
      </c>
    </row>
    <row r="209" spans="1:7" x14ac:dyDescent="0.2">
      <c r="A209">
        <v>177</v>
      </c>
      <c r="B209" s="2">
        <v>36536</v>
      </c>
      <c r="C209" t="s">
        <v>204</v>
      </c>
      <c r="D209" t="s">
        <v>26</v>
      </c>
      <c r="E209">
        <v>220</v>
      </c>
      <c r="F209">
        <v>176</v>
      </c>
      <c r="G209">
        <v>141</v>
      </c>
    </row>
    <row r="210" spans="1:7" x14ac:dyDescent="0.2">
      <c r="A210">
        <v>178</v>
      </c>
      <c r="B210" s="2">
        <v>40915</v>
      </c>
      <c r="C210" t="s">
        <v>203</v>
      </c>
      <c r="D210" t="s">
        <v>26</v>
      </c>
      <c r="E210">
        <v>229</v>
      </c>
      <c r="F210">
        <v>177</v>
      </c>
      <c r="G210">
        <v>134</v>
      </c>
    </row>
    <row r="211" spans="1:7" x14ac:dyDescent="0.2">
      <c r="A211">
        <v>180</v>
      </c>
      <c r="B211" s="2">
        <v>42741</v>
      </c>
      <c r="C211" t="s">
        <v>202</v>
      </c>
      <c r="D211" t="s">
        <v>26</v>
      </c>
      <c r="E211">
        <v>210</v>
      </c>
      <c r="F211">
        <v>169</v>
      </c>
      <c r="G211">
        <v>153</v>
      </c>
    </row>
    <row r="212" spans="1:7" x14ac:dyDescent="0.2">
      <c r="A212">
        <v>181</v>
      </c>
      <c r="B212" s="2">
        <v>36895</v>
      </c>
      <c r="C212" t="s">
        <v>240</v>
      </c>
      <c r="D212" t="s">
        <v>26</v>
      </c>
      <c r="E212">
        <v>218</v>
      </c>
      <c r="F212">
        <v>173</v>
      </c>
      <c r="G212">
        <v>145</v>
      </c>
    </row>
    <row r="213" spans="1:7" x14ac:dyDescent="0.2">
      <c r="A213">
        <v>182</v>
      </c>
      <c r="B213" s="2">
        <v>41284</v>
      </c>
      <c r="C213" t="s">
        <v>243</v>
      </c>
      <c r="D213" t="s">
        <v>26</v>
      </c>
      <c r="E213">
        <v>216</v>
      </c>
      <c r="F213">
        <v>163</v>
      </c>
      <c r="G213">
        <v>149</v>
      </c>
    </row>
    <row r="214" spans="1:7" x14ac:dyDescent="0.2">
      <c r="A214">
        <v>183</v>
      </c>
      <c r="B214" s="2">
        <v>38724</v>
      </c>
      <c r="C214" t="s">
        <v>221</v>
      </c>
      <c r="D214" t="s">
        <v>26</v>
      </c>
      <c r="E214">
        <v>213</v>
      </c>
      <c r="F214">
        <v>179</v>
      </c>
      <c r="G214">
        <v>153</v>
      </c>
    </row>
    <row r="215" spans="1:7" x14ac:dyDescent="0.2">
      <c r="A215">
        <v>184</v>
      </c>
      <c r="B215" s="2">
        <v>37263</v>
      </c>
      <c r="C215" t="s">
        <v>181</v>
      </c>
      <c r="D215" t="s">
        <v>26</v>
      </c>
      <c r="E215">
        <v>204</v>
      </c>
      <c r="F215">
        <v>170</v>
      </c>
      <c r="G215">
        <v>162</v>
      </c>
    </row>
    <row r="216" spans="1:7" x14ac:dyDescent="0.2">
      <c r="A216">
        <v>185</v>
      </c>
      <c r="B216" s="2">
        <v>42747</v>
      </c>
      <c r="C216" t="s">
        <v>234</v>
      </c>
      <c r="D216" t="s">
        <v>26</v>
      </c>
      <c r="E216">
        <v>229</v>
      </c>
      <c r="F216">
        <v>176</v>
      </c>
      <c r="G216">
        <v>137</v>
      </c>
    </row>
    <row r="217" spans="1:7" x14ac:dyDescent="0.2">
      <c r="A217">
        <v>188</v>
      </c>
      <c r="B217" s="2">
        <v>38361</v>
      </c>
      <c r="C217" t="s">
        <v>245</v>
      </c>
      <c r="D217" t="s">
        <v>26</v>
      </c>
      <c r="E217">
        <v>220</v>
      </c>
      <c r="F217">
        <v>183</v>
      </c>
      <c r="G217">
        <v>147</v>
      </c>
    </row>
    <row r="218" spans="1:7" x14ac:dyDescent="0.2">
      <c r="A218">
        <v>190</v>
      </c>
      <c r="B218" s="2">
        <v>40909</v>
      </c>
      <c r="C218" t="s">
        <v>234</v>
      </c>
      <c r="D218" t="s">
        <v>26</v>
      </c>
      <c r="E218">
        <v>211</v>
      </c>
      <c r="F218">
        <v>182</v>
      </c>
      <c r="G218">
        <v>157</v>
      </c>
    </row>
    <row r="219" spans="1:7" x14ac:dyDescent="0.2">
      <c r="A219">
        <v>191</v>
      </c>
      <c r="B219" s="2">
        <v>40913</v>
      </c>
      <c r="C219" t="s">
        <v>246</v>
      </c>
      <c r="D219" t="s">
        <v>26</v>
      </c>
      <c r="E219">
        <v>214</v>
      </c>
      <c r="F219">
        <v>171</v>
      </c>
      <c r="G219">
        <v>154</v>
      </c>
    </row>
    <row r="220" spans="1:7" x14ac:dyDescent="0.2">
      <c r="A220">
        <v>192</v>
      </c>
      <c r="B220" s="2">
        <v>42015</v>
      </c>
      <c r="C220" t="s">
        <v>184</v>
      </c>
      <c r="D220" t="s">
        <v>26</v>
      </c>
      <c r="E220">
        <v>218</v>
      </c>
      <c r="F220">
        <v>166</v>
      </c>
      <c r="G220">
        <v>151</v>
      </c>
    </row>
    <row r="221" spans="1:7" x14ac:dyDescent="0.2">
      <c r="A221">
        <v>193</v>
      </c>
      <c r="B221" s="2">
        <v>37994</v>
      </c>
      <c r="C221" t="s">
        <v>230</v>
      </c>
      <c r="D221" t="s">
        <v>26</v>
      </c>
      <c r="E221">
        <v>210</v>
      </c>
      <c r="F221">
        <v>181</v>
      </c>
      <c r="G221">
        <v>159</v>
      </c>
    </row>
    <row r="222" spans="1:7" x14ac:dyDescent="0.2">
      <c r="A222">
        <v>195</v>
      </c>
      <c r="B222" s="2">
        <v>42378</v>
      </c>
      <c r="C222" t="s">
        <v>224</v>
      </c>
      <c r="D222" t="s">
        <v>26</v>
      </c>
      <c r="E222">
        <v>230</v>
      </c>
      <c r="F222">
        <v>160</v>
      </c>
      <c r="G222">
        <v>139</v>
      </c>
    </row>
    <row r="223" spans="1:7" x14ac:dyDescent="0.2">
      <c r="A223">
        <v>196</v>
      </c>
      <c r="B223" s="2">
        <v>36534</v>
      </c>
      <c r="C223" t="s">
        <v>191</v>
      </c>
      <c r="D223" t="s">
        <v>26</v>
      </c>
      <c r="E223">
        <v>222</v>
      </c>
      <c r="F223">
        <v>172</v>
      </c>
      <c r="G223">
        <v>148</v>
      </c>
    </row>
    <row r="224" spans="1:7" x14ac:dyDescent="0.2">
      <c r="A224">
        <v>197</v>
      </c>
      <c r="B224" s="2">
        <v>39090</v>
      </c>
      <c r="C224" t="s">
        <v>253</v>
      </c>
      <c r="D224" t="s">
        <v>26</v>
      </c>
      <c r="E224">
        <v>206</v>
      </c>
      <c r="F224">
        <v>175</v>
      </c>
      <c r="G224">
        <v>164</v>
      </c>
    </row>
    <row r="225" spans="1:7" x14ac:dyDescent="0.2">
      <c r="A225">
        <v>201</v>
      </c>
      <c r="B225" s="2">
        <v>41275</v>
      </c>
      <c r="C225" t="s">
        <v>206</v>
      </c>
      <c r="D225" t="s">
        <v>26</v>
      </c>
      <c r="E225">
        <v>221</v>
      </c>
      <c r="F225">
        <v>188</v>
      </c>
      <c r="G225">
        <v>151</v>
      </c>
    </row>
    <row r="226" spans="1:7" x14ac:dyDescent="0.2">
      <c r="A226">
        <v>202</v>
      </c>
      <c r="B226" s="2">
        <v>40545</v>
      </c>
      <c r="C226" t="s">
        <v>227</v>
      </c>
      <c r="D226" t="s">
        <v>26</v>
      </c>
      <c r="E226">
        <v>214</v>
      </c>
      <c r="F226">
        <v>183</v>
      </c>
      <c r="G226">
        <v>158</v>
      </c>
    </row>
    <row r="227" spans="1:7" x14ac:dyDescent="0.2">
      <c r="A227">
        <v>203</v>
      </c>
      <c r="B227" s="2">
        <v>37997</v>
      </c>
      <c r="C227" t="s">
        <v>212</v>
      </c>
      <c r="D227" t="s">
        <v>26</v>
      </c>
      <c r="E227">
        <v>221</v>
      </c>
      <c r="F227">
        <v>186</v>
      </c>
      <c r="G227">
        <v>151</v>
      </c>
    </row>
    <row r="228" spans="1:7" x14ac:dyDescent="0.2">
      <c r="A228">
        <v>204</v>
      </c>
      <c r="B228" s="2">
        <v>40186</v>
      </c>
      <c r="C228" t="s">
        <v>207</v>
      </c>
      <c r="D228" t="s">
        <v>26</v>
      </c>
      <c r="E228">
        <v>221</v>
      </c>
      <c r="F228">
        <v>189</v>
      </c>
      <c r="G228">
        <v>154</v>
      </c>
    </row>
    <row r="229" spans="1:7" x14ac:dyDescent="0.2">
      <c r="A229">
        <v>206</v>
      </c>
      <c r="B229" s="2">
        <v>41643</v>
      </c>
      <c r="C229" t="s">
        <v>225</v>
      </c>
      <c r="D229" t="s">
        <v>26</v>
      </c>
      <c r="E229">
        <v>225</v>
      </c>
      <c r="F229">
        <v>178</v>
      </c>
      <c r="G229">
        <v>151</v>
      </c>
    </row>
    <row r="230" spans="1:7" x14ac:dyDescent="0.2">
      <c r="A230">
        <v>207</v>
      </c>
      <c r="B230" s="2">
        <v>37260</v>
      </c>
      <c r="C230" t="s">
        <v>184</v>
      </c>
      <c r="D230" t="s">
        <v>26</v>
      </c>
      <c r="E230">
        <v>216</v>
      </c>
      <c r="F230">
        <v>179</v>
      </c>
      <c r="G230">
        <v>160</v>
      </c>
    </row>
    <row r="231" spans="1:7" x14ac:dyDescent="0.2">
      <c r="A231">
        <v>209</v>
      </c>
      <c r="B231" s="2">
        <v>42374</v>
      </c>
      <c r="C231" t="s">
        <v>250</v>
      </c>
      <c r="D231" t="s">
        <v>26</v>
      </c>
      <c r="E231">
        <v>223</v>
      </c>
      <c r="F231">
        <v>175</v>
      </c>
      <c r="G231">
        <v>154</v>
      </c>
    </row>
    <row r="232" spans="1:7" x14ac:dyDescent="0.2">
      <c r="A232">
        <v>210</v>
      </c>
      <c r="B232" s="2">
        <v>37265</v>
      </c>
      <c r="C232" t="s">
        <v>221</v>
      </c>
      <c r="D232" t="s">
        <v>26</v>
      </c>
      <c r="E232">
        <v>216</v>
      </c>
      <c r="F232">
        <v>181</v>
      </c>
      <c r="G232">
        <v>161</v>
      </c>
    </row>
    <row r="233" spans="1:7" x14ac:dyDescent="0.2">
      <c r="A233">
        <v>212</v>
      </c>
      <c r="B233" s="2">
        <v>42737</v>
      </c>
      <c r="C233" t="s">
        <v>198</v>
      </c>
      <c r="D233" t="s">
        <v>26</v>
      </c>
      <c r="E233">
        <v>225</v>
      </c>
      <c r="F233">
        <v>168</v>
      </c>
      <c r="G233">
        <v>153</v>
      </c>
    </row>
    <row r="234" spans="1:7" x14ac:dyDescent="0.2">
      <c r="A234">
        <v>214</v>
      </c>
      <c r="B234" s="2">
        <v>40554</v>
      </c>
      <c r="C234" t="s">
        <v>242</v>
      </c>
      <c r="D234" t="s">
        <v>26</v>
      </c>
      <c r="E234">
        <v>209</v>
      </c>
      <c r="F234">
        <v>182</v>
      </c>
      <c r="G234">
        <v>171</v>
      </c>
    </row>
    <row r="235" spans="1:7" x14ac:dyDescent="0.2">
      <c r="A235">
        <v>215</v>
      </c>
      <c r="B235" s="2">
        <v>37267</v>
      </c>
      <c r="C235" t="s">
        <v>240</v>
      </c>
      <c r="D235" t="s">
        <v>26</v>
      </c>
      <c r="E235">
        <v>215</v>
      </c>
      <c r="F235">
        <v>181</v>
      </c>
      <c r="G235">
        <v>166</v>
      </c>
    </row>
    <row r="236" spans="1:7" x14ac:dyDescent="0.2">
      <c r="A236">
        <v>218</v>
      </c>
      <c r="B236" s="2">
        <v>37624</v>
      </c>
      <c r="C236" t="s">
        <v>218</v>
      </c>
      <c r="D236" t="s">
        <v>26</v>
      </c>
      <c r="E236">
        <v>213</v>
      </c>
      <c r="F236">
        <v>182</v>
      </c>
      <c r="G236">
        <v>171</v>
      </c>
    </row>
    <row r="237" spans="1:7" x14ac:dyDescent="0.2">
      <c r="A237">
        <v>223</v>
      </c>
      <c r="B237" s="2">
        <v>42376</v>
      </c>
      <c r="C237" t="s">
        <v>182</v>
      </c>
      <c r="D237" t="s">
        <v>26</v>
      </c>
      <c r="E237">
        <v>228</v>
      </c>
      <c r="F237">
        <v>189</v>
      </c>
      <c r="G237">
        <v>157</v>
      </c>
    </row>
    <row r="238" spans="1:7" x14ac:dyDescent="0.2">
      <c r="A238">
        <v>224</v>
      </c>
      <c r="B238" s="2">
        <v>37994</v>
      </c>
      <c r="C238" t="s">
        <v>241</v>
      </c>
      <c r="D238" t="s">
        <v>26</v>
      </c>
      <c r="E238">
        <v>213</v>
      </c>
      <c r="F238">
        <v>187</v>
      </c>
      <c r="G238">
        <v>172</v>
      </c>
    </row>
    <row r="239" spans="1:7" x14ac:dyDescent="0.2">
      <c r="A239">
        <v>227</v>
      </c>
      <c r="B239" s="2">
        <v>42006</v>
      </c>
      <c r="C239" t="s">
        <v>198</v>
      </c>
      <c r="D239" t="s">
        <v>26</v>
      </c>
      <c r="E239">
        <v>243</v>
      </c>
      <c r="F239">
        <v>172</v>
      </c>
      <c r="G239">
        <v>146</v>
      </c>
    </row>
    <row r="240" spans="1:7" x14ac:dyDescent="0.2">
      <c r="A240">
        <v>228</v>
      </c>
      <c r="B240" s="2">
        <v>40910</v>
      </c>
      <c r="C240" t="s">
        <v>250</v>
      </c>
      <c r="D240" t="s">
        <v>26</v>
      </c>
      <c r="E240">
        <v>220</v>
      </c>
      <c r="F240">
        <v>192</v>
      </c>
      <c r="G240">
        <v>172</v>
      </c>
    </row>
    <row r="241" spans="1:7" x14ac:dyDescent="0.2">
      <c r="A241">
        <v>230</v>
      </c>
      <c r="B241" s="2">
        <v>37994</v>
      </c>
      <c r="C241" t="s">
        <v>238</v>
      </c>
      <c r="D241" t="s">
        <v>26</v>
      </c>
      <c r="E241">
        <v>212</v>
      </c>
      <c r="F241">
        <v>192</v>
      </c>
      <c r="G241">
        <v>181</v>
      </c>
    </row>
    <row r="242" spans="1:7" x14ac:dyDescent="0.2">
      <c r="A242">
        <v>231</v>
      </c>
      <c r="B242" s="2">
        <v>38356</v>
      </c>
      <c r="C242" t="s">
        <v>201</v>
      </c>
      <c r="D242" t="s">
        <v>26</v>
      </c>
      <c r="E242">
        <v>220</v>
      </c>
      <c r="F242">
        <v>196</v>
      </c>
      <c r="G242">
        <v>173</v>
      </c>
    </row>
    <row r="243" spans="1:7" x14ac:dyDescent="0.2">
      <c r="A243">
        <v>232</v>
      </c>
      <c r="B243" s="2">
        <v>39454</v>
      </c>
      <c r="C243" t="s">
        <v>237</v>
      </c>
      <c r="D243" t="s">
        <v>26</v>
      </c>
      <c r="E243">
        <v>220</v>
      </c>
      <c r="F243">
        <v>197</v>
      </c>
      <c r="G243">
        <v>173</v>
      </c>
    </row>
    <row r="244" spans="1:7" x14ac:dyDescent="0.2">
      <c r="A244">
        <v>233</v>
      </c>
      <c r="B244" s="2">
        <v>41283</v>
      </c>
      <c r="C244" t="s">
        <v>214</v>
      </c>
      <c r="D244" t="s">
        <v>26</v>
      </c>
      <c r="E244">
        <v>236</v>
      </c>
      <c r="F244">
        <v>188</v>
      </c>
      <c r="G244">
        <v>158</v>
      </c>
    </row>
    <row r="245" spans="1:7" x14ac:dyDescent="0.2">
      <c r="A245">
        <v>234</v>
      </c>
      <c r="B245" s="2">
        <v>41641</v>
      </c>
      <c r="C245" t="s">
        <v>229</v>
      </c>
      <c r="D245" t="s">
        <v>26</v>
      </c>
      <c r="E245">
        <v>224</v>
      </c>
      <c r="F245">
        <v>193</v>
      </c>
      <c r="G245">
        <v>172</v>
      </c>
    </row>
    <row r="246" spans="1:7" x14ac:dyDescent="0.2">
      <c r="A246">
        <v>235</v>
      </c>
      <c r="B246" s="2">
        <v>42740</v>
      </c>
      <c r="C246" t="s">
        <v>223</v>
      </c>
      <c r="D246" t="s">
        <v>26</v>
      </c>
      <c r="E246">
        <v>231</v>
      </c>
      <c r="F246">
        <v>189</v>
      </c>
      <c r="G246">
        <v>167</v>
      </c>
    </row>
    <row r="247" spans="1:7" x14ac:dyDescent="0.2">
      <c r="A247">
        <v>236</v>
      </c>
      <c r="B247" s="2">
        <v>40553</v>
      </c>
      <c r="C247" t="s">
        <v>236</v>
      </c>
      <c r="D247" t="s">
        <v>26</v>
      </c>
      <c r="E247">
        <v>213</v>
      </c>
      <c r="F247">
        <v>203</v>
      </c>
      <c r="G247">
        <v>187</v>
      </c>
    </row>
    <row r="248" spans="1:7" x14ac:dyDescent="0.2">
      <c r="A248">
        <v>237</v>
      </c>
      <c r="B248" s="2">
        <v>39093</v>
      </c>
      <c r="C248" t="s">
        <v>212</v>
      </c>
      <c r="D248" t="s">
        <v>26</v>
      </c>
      <c r="E248">
        <v>232</v>
      </c>
      <c r="F248">
        <v>197</v>
      </c>
      <c r="G248">
        <v>170</v>
      </c>
    </row>
    <row r="249" spans="1:7" x14ac:dyDescent="0.2">
      <c r="A249">
        <v>238</v>
      </c>
      <c r="B249" s="2">
        <v>39823</v>
      </c>
      <c r="C249" t="s">
        <v>236</v>
      </c>
      <c r="D249" t="s">
        <v>26</v>
      </c>
      <c r="E249">
        <v>229</v>
      </c>
      <c r="F249">
        <v>203</v>
      </c>
      <c r="G249">
        <v>173</v>
      </c>
    </row>
    <row r="250" spans="1:7" x14ac:dyDescent="0.2">
      <c r="A250">
        <v>239</v>
      </c>
      <c r="B250" s="2">
        <v>41282</v>
      </c>
      <c r="C250" t="s">
        <v>197</v>
      </c>
      <c r="D250" t="s">
        <v>26</v>
      </c>
      <c r="E250">
        <v>239</v>
      </c>
      <c r="F250">
        <v>197</v>
      </c>
      <c r="G250">
        <v>164</v>
      </c>
    </row>
    <row r="251" spans="1:7" x14ac:dyDescent="0.2">
      <c r="A251">
        <v>243</v>
      </c>
      <c r="B251" s="2">
        <v>42380</v>
      </c>
      <c r="C251" t="s">
        <v>203</v>
      </c>
      <c r="D251" t="s">
        <v>26</v>
      </c>
      <c r="E251">
        <v>231</v>
      </c>
      <c r="F251">
        <v>194</v>
      </c>
      <c r="G251">
        <v>178</v>
      </c>
    </row>
    <row r="252" spans="1:7" x14ac:dyDescent="0.2">
      <c r="A252">
        <v>244</v>
      </c>
      <c r="B252" s="2">
        <v>40546</v>
      </c>
      <c r="C252" t="s">
        <v>228</v>
      </c>
      <c r="D252" t="s">
        <v>26</v>
      </c>
      <c r="E252">
        <v>224</v>
      </c>
      <c r="F252">
        <v>201</v>
      </c>
      <c r="G252">
        <v>185</v>
      </c>
    </row>
    <row r="253" spans="1:7" x14ac:dyDescent="0.2">
      <c r="A253">
        <v>245</v>
      </c>
      <c r="B253" s="2">
        <v>41644</v>
      </c>
      <c r="C253" t="s">
        <v>203</v>
      </c>
      <c r="D253" t="s">
        <v>26</v>
      </c>
      <c r="E253">
        <v>230</v>
      </c>
      <c r="F253">
        <v>189</v>
      </c>
      <c r="G253">
        <v>180</v>
      </c>
    </row>
    <row r="254" spans="1:7" x14ac:dyDescent="0.2">
      <c r="A254">
        <v>246</v>
      </c>
      <c r="B254" s="2">
        <v>39452</v>
      </c>
      <c r="C254" t="s">
        <v>207</v>
      </c>
      <c r="D254" t="s">
        <v>26</v>
      </c>
      <c r="E254">
        <v>224</v>
      </c>
      <c r="F254">
        <v>196</v>
      </c>
      <c r="G254">
        <v>186</v>
      </c>
    </row>
    <row r="255" spans="1:7" x14ac:dyDescent="0.2">
      <c r="A255">
        <v>247</v>
      </c>
      <c r="B255" s="2">
        <v>43110</v>
      </c>
      <c r="C255" t="s">
        <v>228</v>
      </c>
      <c r="D255" t="s">
        <v>26</v>
      </c>
      <c r="E255">
        <v>221</v>
      </c>
      <c r="F255">
        <v>202</v>
      </c>
      <c r="G255">
        <v>192</v>
      </c>
    </row>
    <row r="256" spans="1:7" x14ac:dyDescent="0.2">
      <c r="A256">
        <v>249</v>
      </c>
      <c r="B256" s="2">
        <v>41276</v>
      </c>
      <c r="C256" t="s">
        <v>242</v>
      </c>
      <c r="D256" t="s">
        <v>26</v>
      </c>
      <c r="E256">
        <v>237</v>
      </c>
      <c r="F256">
        <v>200</v>
      </c>
      <c r="G256">
        <v>180</v>
      </c>
    </row>
    <row r="257" spans="1:7" x14ac:dyDescent="0.2">
      <c r="A257">
        <v>250</v>
      </c>
      <c r="B257" s="2">
        <v>36537</v>
      </c>
      <c r="C257" t="s">
        <v>237</v>
      </c>
      <c r="D257" t="s">
        <v>26</v>
      </c>
      <c r="E257">
        <v>218</v>
      </c>
      <c r="F257">
        <v>207</v>
      </c>
      <c r="G257">
        <v>199</v>
      </c>
    </row>
    <row r="258" spans="1:7" x14ac:dyDescent="0.2">
      <c r="A258">
        <v>251</v>
      </c>
      <c r="B258" s="2">
        <v>41281</v>
      </c>
      <c r="C258" t="s">
        <v>223</v>
      </c>
      <c r="D258" t="s">
        <v>26</v>
      </c>
      <c r="E258">
        <v>237</v>
      </c>
      <c r="F258">
        <v>202</v>
      </c>
      <c r="G258">
        <v>181</v>
      </c>
    </row>
    <row r="259" spans="1:7" x14ac:dyDescent="0.2">
      <c r="A259">
        <v>253</v>
      </c>
      <c r="B259" s="2">
        <v>43104</v>
      </c>
      <c r="C259" t="s">
        <v>224</v>
      </c>
      <c r="D259" t="s">
        <v>26</v>
      </c>
      <c r="E259">
        <v>231</v>
      </c>
      <c r="F259">
        <v>205</v>
      </c>
      <c r="G259">
        <v>188</v>
      </c>
    </row>
    <row r="260" spans="1:7" x14ac:dyDescent="0.2">
      <c r="A260">
        <v>254</v>
      </c>
      <c r="B260" s="2">
        <v>40920</v>
      </c>
      <c r="C260" t="s">
        <v>185</v>
      </c>
      <c r="D260" t="s">
        <v>26</v>
      </c>
      <c r="E260">
        <v>235</v>
      </c>
      <c r="F260">
        <v>209</v>
      </c>
      <c r="G260">
        <v>189</v>
      </c>
    </row>
    <row r="261" spans="1:7" x14ac:dyDescent="0.2">
      <c r="A261">
        <v>256</v>
      </c>
      <c r="B261" s="2">
        <v>40917</v>
      </c>
      <c r="C261" t="s">
        <v>228</v>
      </c>
      <c r="D261" t="s">
        <v>26</v>
      </c>
      <c r="E261">
        <v>226</v>
      </c>
      <c r="F261">
        <v>209</v>
      </c>
      <c r="G261">
        <v>199</v>
      </c>
    </row>
    <row r="262" spans="1:7" x14ac:dyDescent="0.2">
      <c r="A262">
        <v>260</v>
      </c>
      <c r="B262" s="2">
        <v>41286</v>
      </c>
      <c r="C262" t="s">
        <v>217</v>
      </c>
      <c r="D262" t="s">
        <v>26</v>
      </c>
      <c r="E262">
        <v>248</v>
      </c>
      <c r="F262">
        <v>210</v>
      </c>
      <c r="G262">
        <v>190</v>
      </c>
    </row>
    <row r="263" spans="1:7" x14ac:dyDescent="0.2">
      <c r="A263">
        <v>261</v>
      </c>
      <c r="B263" s="2">
        <v>40189</v>
      </c>
      <c r="C263" t="s">
        <v>185</v>
      </c>
      <c r="D263" t="s">
        <v>26</v>
      </c>
      <c r="E263">
        <v>246</v>
      </c>
      <c r="F263">
        <v>217</v>
      </c>
      <c r="G263">
        <v>203</v>
      </c>
    </row>
  </sheetData>
  <autoFilter ref="A1:H263" xr:uid="{0FAA4FEE-7A54-604E-92FD-44462FBA9018}">
    <sortState xmlns:xlrd2="http://schemas.microsoft.com/office/spreadsheetml/2017/richdata2" ref="A2:H263">
      <sortCondition ref="D1:D263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0C903-566C-2042-B263-2022E9DF1BB1}">
  <sheetPr codeName="Sheet6"/>
  <dimension ref="A1:D246"/>
  <sheetViews>
    <sheetView topLeftCell="A107" workbookViewId="0">
      <selection activeCell="C189" sqref="C189:D189"/>
    </sheetView>
  </sheetViews>
  <sheetFormatPr baseColWidth="10" defaultRowHeight="16" x14ac:dyDescent="0.2"/>
  <sheetData>
    <row r="1" spans="1:4" ht="18" x14ac:dyDescent="0.2">
      <c r="A1" s="7" t="s">
        <v>28</v>
      </c>
      <c r="B1" s="7" t="s">
        <v>299</v>
      </c>
      <c r="C1" s="7" t="s">
        <v>297</v>
      </c>
      <c r="D1" s="7" t="s">
        <v>298</v>
      </c>
    </row>
    <row r="2" spans="1:4" ht="18" x14ac:dyDescent="0.2">
      <c r="A2" s="8" t="s">
        <v>300</v>
      </c>
      <c r="B2" s="8" t="s">
        <v>303</v>
      </c>
      <c r="C2" s="8" t="s">
        <v>301</v>
      </c>
      <c r="D2" s="8" t="s">
        <v>302</v>
      </c>
    </row>
    <row r="3" spans="1:4" ht="18" x14ac:dyDescent="0.2">
      <c r="A3" s="8" t="s">
        <v>304</v>
      </c>
      <c r="B3" s="8" t="s">
        <v>307</v>
      </c>
      <c r="C3" s="8" t="s">
        <v>305</v>
      </c>
      <c r="D3" s="8" t="s">
        <v>306</v>
      </c>
    </row>
    <row r="4" spans="1:4" ht="18" x14ac:dyDescent="0.2">
      <c r="A4" s="8" t="s">
        <v>308</v>
      </c>
      <c r="B4" s="8" t="s">
        <v>311</v>
      </c>
      <c r="C4" s="8" t="s">
        <v>309</v>
      </c>
      <c r="D4" s="8" t="s">
        <v>310</v>
      </c>
    </row>
    <row r="5" spans="1:4" ht="18" x14ac:dyDescent="0.2">
      <c r="A5" s="8" t="s">
        <v>312</v>
      </c>
      <c r="B5" s="8" t="s">
        <v>315</v>
      </c>
      <c r="C5" s="8" t="s">
        <v>313</v>
      </c>
      <c r="D5" s="8" t="s">
        <v>314</v>
      </c>
    </row>
    <row r="6" spans="1:4" ht="18" x14ac:dyDescent="0.2">
      <c r="A6" s="8" t="s">
        <v>316</v>
      </c>
      <c r="B6" s="8" t="s">
        <v>319</v>
      </c>
      <c r="C6" s="8" t="s">
        <v>317</v>
      </c>
      <c r="D6" s="8" t="s">
        <v>318</v>
      </c>
    </row>
    <row r="7" spans="1:4" ht="18" x14ac:dyDescent="0.2">
      <c r="A7" s="8" t="s">
        <v>320</v>
      </c>
      <c r="B7" s="8" t="s">
        <v>323</v>
      </c>
      <c r="C7" s="8" t="s">
        <v>321</v>
      </c>
      <c r="D7" s="8" t="s">
        <v>322</v>
      </c>
    </row>
    <row r="8" spans="1:4" ht="18" x14ac:dyDescent="0.2">
      <c r="A8" s="8" t="s">
        <v>324</v>
      </c>
      <c r="B8" s="8" t="s">
        <v>327</v>
      </c>
      <c r="C8" s="8" t="s">
        <v>325</v>
      </c>
      <c r="D8" s="8" t="s">
        <v>326</v>
      </c>
    </row>
    <row r="9" spans="1:4" ht="18" x14ac:dyDescent="0.2">
      <c r="A9" s="8" t="s">
        <v>328</v>
      </c>
      <c r="B9" s="8" t="s">
        <v>331</v>
      </c>
      <c r="C9" s="8" t="s">
        <v>329</v>
      </c>
      <c r="D9" s="8" t="s">
        <v>330</v>
      </c>
    </row>
    <row r="10" spans="1:4" ht="18" x14ac:dyDescent="0.2">
      <c r="A10" s="8" t="s">
        <v>332</v>
      </c>
      <c r="B10" s="8" t="s">
        <v>335</v>
      </c>
      <c r="C10" s="8" t="s">
        <v>333</v>
      </c>
      <c r="D10" s="8" t="s">
        <v>334</v>
      </c>
    </row>
    <row r="11" spans="1:4" ht="18" x14ac:dyDescent="0.2">
      <c r="A11" s="8" t="s">
        <v>336</v>
      </c>
      <c r="B11" s="8" t="s">
        <v>339</v>
      </c>
      <c r="C11" s="8" t="s">
        <v>337</v>
      </c>
      <c r="D11" s="8" t="s">
        <v>338</v>
      </c>
    </row>
    <row r="12" spans="1:4" ht="18" x14ac:dyDescent="0.2">
      <c r="A12" s="8" t="s">
        <v>340</v>
      </c>
      <c r="B12" s="8" t="s">
        <v>343</v>
      </c>
      <c r="C12" s="8" t="s">
        <v>341</v>
      </c>
      <c r="D12" s="8" t="s">
        <v>342</v>
      </c>
    </row>
    <row r="13" spans="1:4" ht="18" x14ac:dyDescent="0.2">
      <c r="A13" s="8" t="s">
        <v>344</v>
      </c>
      <c r="B13" s="8" t="s">
        <v>347</v>
      </c>
      <c r="C13" s="8" t="s">
        <v>345</v>
      </c>
      <c r="D13" s="8" t="s">
        <v>346</v>
      </c>
    </row>
    <row r="14" spans="1:4" ht="18" x14ac:dyDescent="0.2">
      <c r="A14" s="8" t="s">
        <v>348</v>
      </c>
      <c r="B14" s="8" t="s">
        <v>351</v>
      </c>
      <c r="C14" s="8" t="s">
        <v>349</v>
      </c>
      <c r="D14" s="8" t="s">
        <v>350</v>
      </c>
    </row>
    <row r="15" spans="1:4" ht="18" x14ac:dyDescent="0.2">
      <c r="A15" s="8" t="s">
        <v>352</v>
      </c>
      <c r="B15" s="8" t="s">
        <v>3</v>
      </c>
      <c r="C15" s="8" t="s">
        <v>353</v>
      </c>
      <c r="D15" s="8" t="s">
        <v>354</v>
      </c>
    </row>
    <row r="16" spans="1:4" ht="18" x14ac:dyDescent="0.2">
      <c r="A16" s="8" t="s">
        <v>355</v>
      </c>
      <c r="B16" s="8" t="s">
        <v>358</v>
      </c>
      <c r="C16" s="8" t="s">
        <v>356</v>
      </c>
      <c r="D16" s="8" t="s">
        <v>357</v>
      </c>
    </row>
    <row r="17" spans="1:4" ht="18" x14ac:dyDescent="0.2">
      <c r="A17" s="8" t="s">
        <v>359</v>
      </c>
      <c r="B17" s="8" t="s">
        <v>362</v>
      </c>
      <c r="C17" s="8" t="s">
        <v>360</v>
      </c>
      <c r="D17" s="8" t="s">
        <v>361</v>
      </c>
    </row>
    <row r="18" spans="1:4" ht="18" x14ac:dyDescent="0.2">
      <c r="A18" s="8" t="s">
        <v>363</v>
      </c>
      <c r="B18" s="8" t="s">
        <v>366</v>
      </c>
      <c r="C18" s="8" t="s">
        <v>364</v>
      </c>
      <c r="D18" s="8" t="s">
        <v>365</v>
      </c>
    </row>
    <row r="19" spans="1:4" ht="18" x14ac:dyDescent="0.2">
      <c r="A19" s="8" t="s">
        <v>367</v>
      </c>
      <c r="B19" s="8" t="s">
        <v>4</v>
      </c>
      <c r="C19" s="8" t="s">
        <v>368</v>
      </c>
      <c r="D19" s="8" t="s">
        <v>369</v>
      </c>
    </row>
    <row r="20" spans="1:4" ht="18" x14ac:dyDescent="0.2">
      <c r="A20" s="8" t="s">
        <v>370</v>
      </c>
      <c r="B20" s="8" t="s">
        <v>373</v>
      </c>
      <c r="C20" s="8" t="s">
        <v>371</v>
      </c>
      <c r="D20" s="8" t="s">
        <v>372</v>
      </c>
    </row>
    <row r="21" spans="1:4" ht="18" x14ac:dyDescent="0.2">
      <c r="A21" s="8" t="s">
        <v>374</v>
      </c>
      <c r="B21" s="8" t="s">
        <v>377</v>
      </c>
      <c r="C21" s="8" t="s">
        <v>375</v>
      </c>
      <c r="D21" s="8" t="s">
        <v>376</v>
      </c>
    </row>
    <row r="22" spans="1:4" ht="18" x14ac:dyDescent="0.2">
      <c r="A22" s="8" t="s">
        <v>378</v>
      </c>
      <c r="B22" s="8" t="s">
        <v>381</v>
      </c>
      <c r="C22" s="8" t="s">
        <v>379</v>
      </c>
      <c r="D22" s="8" t="s">
        <v>380</v>
      </c>
    </row>
    <row r="23" spans="1:4" ht="18" x14ac:dyDescent="0.2">
      <c r="A23" s="8" t="s">
        <v>382</v>
      </c>
      <c r="B23" s="8" t="s">
        <v>385</v>
      </c>
      <c r="C23" s="8" t="s">
        <v>383</v>
      </c>
      <c r="D23" s="8" t="s">
        <v>384</v>
      </c>
    </row>
    <row r="24" spans="1:4" ht="18" x14ac:dyDescent="0.2">
      <c r="A24" s="8" t="s">
        <v>386</v>
      </c>
      <c r="B24" s="8" t="s">
        <v>389</v>
      </c>
      <c r="C24" s="8" t="s">
        <v>387</v>
      </c>
      <c r="D24" s="8" t="s">
        <v>388</v>
      </c>
    </row>
    <row r="25" spans="1:4" ht="18" x14ac:dyDescent="0.2">
      <c r="A25" s="8" t="s">
        <v>390</v>
      </c>
      <c r="B25" s="8" t="s">
        <v>393</v>
      </c>
      <c r="C25" s="8" t="s">
        <v>391</v>
      </c>
      <c r="D25" s="8" t="s">
        <v>392</v>
      </c>
    </row>
    <row r="26" spans="1:4" ht="18" x14ac:dyDescent="0.2">
      <c r="A26" s="8" t="s">
        <v>394</v>
      </c>
      <c r="B26" s="8" t="s">
        <v>397</v>
      </c>
      <c r="C26" s="8" t="s">
        <v>395</v>
      </c>
      <c r="D26" s="8" t="s">
        <v>396</v>
      </c>
    </row>
    <row r="27" spans="1:4" ht="18" x14ac:dyDescent="0.2">
      <c r="A27" s="8" t="s">
        <v>398</v>
      </c>
      <c r="B27" s="8" t="s">
        <v>401</v>
      </c>
      <c r="C27" s="8" t="s">
        <v>399</v>
      </c>
      <c r="D27" s="8" t="s">
        <v>400</v>
      </c>
    </row>
    <row r="28" spans="1:4" ht="18" x14ac:dyDescent="0.2">
      <c r="A28" s="8" t="s">
        <v>402</v>
      </c>
      <c r="B28" s="8" t="s">
        <v>405</v>
      </c>
      <c r="C28" s="8" t="s">
        <v>403</v>
      </c>
      <c r="D28" s="8" t="s">
        <v>404</v>
      </c>
    </row>
    <row r="29" spans="1:4" ht="18" x14ac:dyDescent="0.2">
      <c r="A29" s="8" t="s">
        <v>406</v>
      </c>
      <c r="B29" s="8" t="s">
        <v>409</v>
      </c>
      <c r="C29" s="8" t="s">
        <v>407</v>
      </c>
      <c r="D29" s="8" t="s">
        <v>408</v>
      </c>
    </row>
    <row r="30" spans="1:4" ht="18" x14ac:dyDescent="0.2">
      <c r="A30" s="8" t="s">
        <v>410</v>
      </c>
      <c r="B30" s="8" t="s">
        <v>5</v>
      </c>
      <c r="C30" s="8" t="s">
        <v>411</v>
      </c>
      <c r="D30" s="8" t="s">
        <v>412</v>
      </c>
    </row>
    <row r="31" spans="1:4" ht="18" x14ac:dyDescent="0.2">
      <c r="A31" s="8" t="s">
        <v>413</v>
      </c>
      <c r="B31" s="8" t="s">
        <v>416</v>
      </c>
      <c r="C31" s="8" t="s">
        <v>414</v>
      </c>
      <c r="D31" s="8" t="s">
        <v>415</v>
      </c>
    </row>
    <row r="32" spans="1:4" ht="18" x14ac:dyDescent="0.2">
      <c r="A32" s="8" t="s">
        <v>417</v>
      </c>
      <c r="B32" s="8" t="s">
        <v>420</v>
      </c>
      <c r="C32" s="8" t="s">
        <v>418</v>
      </c>
      <c r="D32" s="8" t="s">
        <v>419</v>
      </c>
    </row>
    <row r="33" spans="1:4" ht="18" x14ac:dyDescent="0.2">
      <c r="A33" s="8" t="s">
        <v>421</v>
      </c>
      <c r="B33" s="8" t="s">
        <v>424</v>
      </c>
      <c r="C33" s="8" t="s">
        <v>422</v>
      </c>
      <c r="D33" s="8" t="s">
        <v>423</v>
      </c>
    </row>
    <row r="34" spans="1:4" ht="18" x14ac:dyDescent="0.2">
      <c r="A34" s="8" t="s">
        <v>425</v>
      </c>
      <c r="B34" s="8" t="s">
        <v>428</v>
      </c>
      <c r="C34" s="8" t="s">
        <v>426</v>
      </c>
      <c r="D34" s="8" t="s">
        <v>427</v>
      </c>
    </row>
    <row r="35" spans="1:4" ht="18" x14ac:dyDescent="0.2">
      <c r="A35" s="8" t="s">
        <v>429</v>
      </c>
      <c r="B35" s="8" t="s">
        <v>432</v>
      </c>
      <c r="C35" s="8" t="s">
        <v>430</v>
      </c>
      <c r="D35" s="8" t="s">
        <v>431</v>
      </c>
    </row>
    <row r="36" spans="1:4" ht="18" x14ac:dyDescent="0.2">
      <c r="A36" s="8" t="s">
        <v>433</v>
      </c>
      <c r="B36" s="8" t="s">
        <v>436</v>
      </c>
      <c r="C36" s="8" t="s">
        <v>434</v>
      </c>
      <c r="D36" s="8" t="s">
        <v>435</v>
      </c>
    </row>
    <row r="37" spans="1:4" ht="18" x14ac:dyDescent="0.2">
      <c r="A37" s="8" t="s">
        <v>437</v>
      </c>
      <c r="B37" s="8" t="s">
        <v>6</v>
      </c>
      <c r="C37" s="8" t="s">
        <v>438</v>
      </c>
      <c r="D37" s="8" t="s">
        <v>439</v>
      </c>
    </row>
    <row r="38" spans="1:4" ht="18" x14ac:dyDescent="0.2">
      <c r="A38" s="8" t="s">
        <v>440</v>
      </c>
      <c r="B38" s="8" t="s">
        <v>443</v>
      </c>
      <c r="C38" s="8" t="s">
        <v>441</v>
      </c>
      <c r="D38" s="8" t="s">
        <v>442</v>
      </c>
    </row>
    <row r="39" spans="1:4" ht="18" x14ac:dyDescent="0.2">
      <c r="A39" s="8" t="s">
        <v>444</v>
      </c>
      <c r="B39" s="8" t="s">
        <v>447</v>
      </c>
      <c r="C39" s="8" t="s">
        <v>445</v>
      </c>
      <c r="D39" s="8" t="s">
        <v>446</v>
      </c>
    </row>
    <row r="40" spans="1:4" ht="18" x14ac:dyDescent="0.2">
      <c r="A40" s="8" t="s">
        <v>448</v>
      </c>
      <c r="B40" s="8" t="s">
        <v>451</v>
      </c>
      <c r="C40" s="8" t="s">
        <v>449</v>
      </c>
      <c r="D40" s="8" t="s">
        <v>450</v>
      </c>
    </row>
    <row r="41" spans="1:4" ht="18" x14ac:dyDescent="0.2">
      <c r="A41" s="8" t="s">
        <v>452</v>
      </c>
      <c r="B41" s="8" t="s">
        <v>455</v>
      </c>
      <c r="C41" s="8" t="s">
        <v>453</v>
      </c>
      <c r="D41" s="8" t="s">
        <v>454</v>
      </c>
    </row>
    <row r="42" spans="1:4" ht="18" x14ac:dyDescent="0.2">
      <c r="A42" s="8" t="s">
        <v>456</v>
      </c>
      <c r="B42" s="8" t="s">
        <v>459</v>
      </c>
      <c r="C42" s="8" t="s">
        <v>457</v>
      </c>
      <c r="D42" s="8" t="s">
        <v>458</v>
      </c>
    </row>
    <row r="43" spans="1:4" ht="18" x14ac:dyDescent="0.2">
      <c r="A43" s="8" t="s">
        <v>460</v>
      </c>
      <c r="B43" s="8" t="s">
        <v>463</v>
      </c>
      <c r="C43" s="8" t="s">
        <v>461</v>
      </c>
      <c r="D43" s="8" t="s">
        <v>462</v>
      </c>
    </row>
    <row r="44" spans="1:4" ht="18" x14ac:dyDescent="0.2">
      <c r="A44" s="8" t="s">
        <v>464</v>
      </c>
      <c r="B44" s="8" t="s">
        <v>467</v>
      </c>
      <c r="C44" s="8" t="s">
        <v>465</v>
      </c>
      <c r="D44" s="8" t="s">
        <v>466</v>
      </c>
    </row>
    <row r="45" spans="1:4" ht="18" x14ac:dyDescent="0.2">
      <c r="A45" s="8" t="s">
        <v>468</v>
      </c>
      <c r="B45" s="8" t="s">
        <v>471</v>
      </c>
      <c r="C45" s="8" t="s">
        <v>469</v>
      </c>
      <c r="D45" s="8" t="s">
        <v>470</v>
      </c>
    </row>
    <row r="46" spans="1:4" ht="18" x14ac:dyDescent="0.2">
      <c r="A46" s="8" t="s">
        <v>472</v>
      </c>
      <c r="B46" s="8" t="s">
        <v>475</v>
      </c>
      <c r="C46" s="8" t="s">
        <v>473</v>
      </c>
      <c r="D46" s="8" t="s">
        <v>474</v>
      </c>
    </row>
    <row r="47" spans="1:4" ht="18" x14ac:dyDescent="0.2">
      <c r="A47" s="8" t="s">
        <v>476</v>
      </c>
      <c r="B47" s="8" t="s">
        <v>7</v>
      </c>
      <c r="C47" s="8" t="s">
        <v>477</v>
      </c>
      <c r="D47" s="8" t="s">
        <v>478</v>
      </c>
    </row>
    <row r="48" spans="1:4" ht="18" x14ac:dyDescent="0.2">
      <c r="A48" s="8" t="s">
        <v>479</v>
      </c>
      <c r="B48" s="8" t="s">
        <v>482</v>
      </c>
      <c r="C48" s="8" t="s">
        <v>480</v>
      </c>
      <c r="D48" s="8" t="s">
        <v>481</v>
      </c>
    </row>
    <row r="49" spans="1:4" ht="18" x14ac:dyDescent="0.2">
      <c r="A49" s="8" t="s">
        <v>483</v>
      </c>
      <c r="B49" s="8" t="s">
        <v>486</v>
      </c>
      <c r="C49" s="8" t="s">
        <v>484</v>
      </c>
      <c r="D49" s="8" t="s">
        <v>485</v>
      </c>
    </row>
    <row r="50" spans="1:4" ht="18" x14ac:dyDescent="0.2">
      <c r="A50" s="8" t="s">
        <v>487</v>
      </c>
      <c r="B50" s="8" t="s">
        <v>490</v>
      </c>
      <c r="C50" s="8" t="s">
        <v>488</v>
      </c>
      <c r="D50" s="8" t="s">
        <v>489</v>
      </c>
    </row>
    <row r="51" spans="1:4" ht="18" x14ac:dyDescent="0.2">
      <c r="A51" s="8" t="s">
        <v>491</v>
      </c>
      <c r="B51" s="8" t="s">
        <v>494</v>
      </c>
      <c r="C51" s="8" t="s">
        <v>492</v>
      </c>
      <c r="D51" s="8" t="s">
        <v>493</v>
      </c>
    </row>
    <row r="52" spans="1:4" ht="18" x14ac:dyDescent="0.2">
      <c r="A52" s="8" t="s">
        <v>495</v>
      </c>
      <c r="B52" s="8" t="s">
        <v>498</v>
      </c>
      <c r="C52" s="8" t="s">
        <v>496</v>
      </c>
      <c r="D52" s="8" t="s">
        <v>497</v>
      </c>
    </row>
    <row r="53" spans="1:4" ht="18" x14ac:dyDescent="0.2">
      <c r="A53" s="8" t="s">
        <v>499</v>
      </c>
      <c r="B53" s="8" t="s">
        <v>502</v>
      </c>
      <c r="C53" s="8" t="s">
        <v>500</v>
      </c>
      <c r="D53" s="8" t="s">
        <v>501</v>
      </c>
    </row>
    <row r="54" spans="1:4" ht="18" x14ac:dyDescent="0.2">
      <c r="A54" s="8" t="s">
        <v>503</v>
      </c>
      <c r="B54" s="8" t="s">
        <v>8</v>
      </c>
      <c r="C54" s="8" t="s">
        <v>504</v>
      </c>
      <c r="D54" s="8" t="s">
        <v>505</v>
      </c>
    </row>
    <row r="55" spans="1:4" ht="18" x14ac:dyDescent="0.2">
      <c r="A55" s="8" t="s">
        <v>506</v>
      </c>
      <c r="B55" s="8" t="s">
        <v>509</v>
      </c>
      <c r="C55" s="8" t="s">
        <v>507</v>
      </c>
      <c r="D55" s="8" t="s">
        <v>508</v>
      </c>
    </row>
    <row r="56" spans="1:4" ht="18" x14ac:dyDescent="0.2">
      <c r="A56" s="8" t="s">
        <v>510</v>
      </c>
      <c r="B56" s="8" t="s">
        <v>513</v>
      </c>
      <c r="C56" s="8" t="s">
        <v>511</v>
      </c>
      <c r="D56" s="8" t="s">
        <v>512</v>
      </c>
    </row>
    <row r="57" spans="1:4" ht="18" x14ac:dyDescent="0.2">
      <c r="A57" s="8" t="s">
        <v>514</v>
      </c>
      <c r="B57" s="8" t="s">
        <v>517</v>
      </c>
      <c r="C57" s="8" t="s">
        <v>515</v>
      </c>
      <c r="D57" s="8" t="s">
        <v>516</v>
      </c>
    </row>
    <row r="58" spans="1:4" ht="18" x14ac:dyDescent="0.2">
      <c r="A58" s="8" t="s">
        <v>518</v>
      </c>
      <c r="B58" s="8" t="s">
        <v>521</v>
      </c>
      <c r="C58" s="8" t="s">
        <v>519</v>
      </c>
      <c r="D58" s="8" t="s">
        <v>520</v>
      </c>
    </row>
    <row r="59" spans="1:4" ht="18" x14ac:dyDescent="0.2">
      <c r="A59" s="8" t="s">
        <v>522</v>
      </c>
      <c r="B59" s="8" t="s">
        <v>525</v>
      </c>
      <c r="C59" s="8" t="s">
        <v>523</v>
      </c>
      <c r="D59" s="8" t="s">
        <v>524</v>
      </c>
    </row>
    <row r="60" spans="1:4" ht="18" x14ac:dyDescent="0.2">
      <c r="A60" s="8" t="s">
        <v>526</v>
      </c>
      <c r="B60" s="8" t="s">
        <v>529</v>
      </c>
      <c r="C60" s="8" t="s">
        <v>527</v>
      </c>
      <c r="D60" s="8" t="s">
        <v>528</v>
      </c>
    </row>
    <row r="61" spans="1:4" ht="18" x14ac:dyDescent="0.2">
      <c r="A61" s="8" t="s">
        <v>530</v>
      </c>
      <c r="B61" s="8" t="s">
        <v>533</v>
      </c>
      <c r="C61" s="8" t="s">
        <v>531</v>
      </c>
      <c r="D61" s="8" t="s">
        <v>532</v>
      </c>
    </row>
    <row r="62" spans="1:4" ht="18" x14ac:dyDescent="0.2">
      <c r="A62" s="8" t="s">
        <v>534</v>
      </c>
      <c r="B62" s="8" t="s">
        <v>9</v>
      </c>
      <c r="C62" s="8" t="s">
        <v>535</v>
      </c>
      <c r="D62" s="8" t="s">
        <v>536</v>
      </c>
    </row>
    <row r="63" spans="1:4" ht="18" x14ac:dyDescent="0.2">
      <c r="A63" s="8" t="s">
        <v>537</v>
      </c>
      <c r="B63" s="8" t="s">
        <v>540</v>
      </c>
      <c r="C63" s="8" t="s">
        <v>538</v>
      </c>
      <c r="D63" s="8" t="s">
        <v>539</v>
      </c>
    </row>
    <row r="64" spans="1:4" ht="18" x14ac:dyDescent="0.2">
      <c r="A64" s="8" t="s">
        <v>541</v>
      </c>
      <c r="B64" s="8" t="s">
        <v>544</v>
      </c>
      <c r="C64" s="8" t="s">
        <v>542</v>
      </c>
      <c r="D64" s="8" t="s">
        <v>543</v>
      </c>
    </row>
    <row r="65" spans="1:4" ht="18" x14ac:dyDescent="0.2">
      <c r="A65" s="8" t="s">
        <v>545</v>
      </c>
      <c r="B65" s="8" t="s">
        <v>548</v>
      </c>
      <c r="C65" s="8" t="s">
        <v>546</v>
      </c>
      <c r="D65" s="8" t="s">
        <v>547</v>
      </c>
    </row>
    <row r="66" spans="1:4" ht="18" x14ac:dyDescent="0.2">
      <c r="A66" s="8" t="s">
        <v>549</v>
      </c>
      <c r="B66" s="8" t="s">
        <v>23</v>
      </c>
      <c r="C66" s="8" t="s">
        <v>550</v>
      </c>
      <c r="D66" s="8" t="s">
        <v>551</v>
      </c>
    </row>
    <row r="67" spans="1:4" ht="18" x14ac:dyDescent="0.2">
      <c r="A67" s="8" t="s">
        <v>552</v>
      </c>
      <c r="B67" s="8" t="s">
        <v>10</v>
      </c>
      <c r="C67" s="8" t="s">
        <v>553</v>
      </c>
      <c r="D67" s="8" t="s">
        <v>554</v>
      </c>
    </row>
    <row r="68" spans="1:4" ht="18" x14ac:dyDescent="0.2">
      <c r="A68" s="8" t="s">
        <v>555</v>
      </c>
      <c r="B68" s="8" t="s">
        <v>558</v>
      </c>
      <c r="C68" s="8" t="s">
        <v>556</v>
      </c>
      <c r="D68" s="8" t="s">
        <v>557</v>
      </c>
    </row>
    <row r="69" spans="1:4" ht="18" x14ac:dyDescent="0.2">
      <c r="A69" s="8" t="s">
        <v>559</v>
      </c>
      <c r="B69" s="8" t="s">
        <v>562</v>
      </c>
      <c r="C69" s="8" t="s">
        <v>560</v>
      </c>
      <c r="D69" s="8" t="s">
        <v>561</v>
      </c>
    </row>
    <row r="70" spans="1:4" ht="18" x14ac:dyDescent="0.2">
      <c r="A70" s="8" t="s">
        <v>563</v>
      </c>
      <c r="B70" s="8" t="s">
        <v>566</v>
      </c>
      <c r="C70" s="8" t="s">
        <v>564</v>
      </c>
      <c r="D70" s="8" t="s">
        <v>565</v>
      </c>
    </row>
    <row r="71" spans="1:4" ht="18" x14ac:dyDescent="0.2">
      <c r="A71" s="8" t="s">
        <v>567</v>
      </c>
      <c r="B71" s="8" t="s">
        <v>570</v>
      </c>
      <c r="C71" s="8" t="s">
        <v>568</v>
      </c>
      <c r="D71" s="8" t="s">
        <v>569</v>
      </c>
    </row>
    <row r="72" spans="1:4" ht="18" x14ac:dyDescent="0.2">
      <c r="A72" s="8" t="s">
        <v>571</v>
      </c>
      <c r="B72" s="8" t="s">
        <v>574</v>
      </c>
      <c r="C72" s="8" t="s">
        <v>572</v>
      </c>
      <c r="D72" s="8" t="s">
        <v>573</v>
      </c>
    </row>
    <row r="73" spans="1:4" ht="18" x14ac:dyDescent="0.2">
      <c r="A73" s="8" t="s">
        <v>575</v>
      </c>
      <c r="B73" s="8" t="s">
        <v>11</v>
      </c>
      <c r="C73" s="8" t="s">
        <v>576</v>
      </c>
      <c r="D73" s="8" t="s">
        <v>577</v>
      </c>
    </row>
    <row r="74" spans="1:4" ht="18" x14ac:dyDescent="0.2">
      <c r="A74" s="8" t="s">
        <v>578</v>
      </c>
      <c r="B74" s="8" t="s">
        <v>581</v>
      </c>
      <c r="C74" s="8" t="s">
        <v>579</v>
      </c>
      <c r="D74" s="8" t="s">
        <v>580</v>
      </c>
    </row>
    <row r="75" spans="1:4" ht="18" x14ac:dyDescent="0.2">
      <c r="A75" s="8" t="s">
        <v>582</v>
      </c>
      <c r="B75" s="8" t="s">
        <v>25</v>
      </c>
      <c r="C75" s="8" t="s">
        <v>583</v>
      </c>
      <c r="D75" s="8" t="s">
        <v>584</v>
      </c>
    </row>
    <row r="76" spans="1:4" ht="18" x14ac:dyDescent="0.2">
      <c r="A76" s="8" t="s">
        <v>585</v>
      </c>
      <c r="B76" s="8" t="s">
        <v>588</v>
      </c>
      <c r="C76" s="8" t="s">
        <v>586</v>
      </c>
      <c r="D76" s="8" t="s">
        <v>587</v>
      </c>
    </row>
    <row r="77" spans="1:4" ht="18" x14ac:dyDescent="0.2">
      <c r="A77" s="8" t="s">
        <v>589</v>
      </c>
      <c r="B77" s="8" t="s">
        <v>592</v>
      </c>
      <c r="C77" s="8" t="s">
        <v>590</v>
      </c>
      <c r="D77" s="8" t="s">
        <v>591</v>
      </c>
    </row>
    <row r="78" spans="1:4" ht="18" x14ac:dyDescent="0.2">
      <c r="A78" s="8" t="s">
        <v>593</v>
      </c>
      <c r="B78" s="8" t="s">
        <v>596</v>
      </c>
      <c r="C78" s="8" t="s">
        <v>594</v>
      </c>
      <c r="D78" s="8" t="s">
        <v>595</v>
      </c>
    </row>
    <row r="79" spans="1:4" ht="18" x14ac:dyDescent="0.2">
      <c r="A79" s="8" t="s">
        <v>597</v>
      </c>
      <c r="B79" s="8" t="s">
        <v>600</v>
      </c>
      <c r="C79" s="8" t="s">
        <v>598</v>
      </c>
      <c r="D79" s="8" t="s">
        <v>599</v>
      </c>
    </row>
    <row r="80" spans="1:4" ht="18" x14ac:dyDescent="0.2">
      <c r="A80" s="8" t="s">
        <v>601</v>
      </c>
      <c r="B80" s="8" t="s">
        <v>604</v>
      </c>
      <c r="C80" s="8" t="s">
        <v>602</v>
      </c>
      <c r="D80" s="8" t="s">
        <v>603</v>
      </c>
    </row>
    <row r="81" spans="1:4" ht="18" x14ac:dyDescent="0.2">
      <c r="A81" s="8" t="s">
        <v>605</v>
      </c>
      <c r="B81" s="8" t="s">
        <v>608</v>
      </c>
      <c r="C81" s="8" t="s">
        <v>606</v>
      </c>
      <c r="D81" s="8" t="s">
        <v>607</v>
      </c>
    </row>
    <row r="82" spans="1:4" ht="18" x14ac:dyDescent="0.2">
      <c r="A82" s="8" t="s">
        <v>609</v>
      </c>
      <c r="B82" s="8" t="s">
        <v>612</v>
      </c>
      <c r="C82" s="8" t="s">
        <v>610</v>
      </c>
      <c r="D82" s="8" t="s">
        <v>611</v>
      </c>
    </row>
    <row r="83" spans="1:4" ht="18" x14ac:dyDescent="0.2">
      <c r="A83" s="8" t="s">
        <v>613</v>
      </c>
      <c r="B83" s="8" t="s">
        <v>616</v>
      </c>
      <c r="C83" s="8" t="s">
        <v>614</v>
      </c>
      <c r="D83" s="8" t="s">
        <v>615</v>
      </c>
    </row>
    <row r="84" spans="1:4" ht="18" x14ac:dyDescent="0.2">
      <c r="A84" s="8" t="s">
        <v>617</v>
      </c>
      <c r="B84" s="8" t="s">
        <v>620</v>
      </c>
      <c r="C84" s="8" t="s">
        <v>618</v>
      </c>
      <c r="D84" s="8" t="s">
        <v>619</v>
      </c>
    </row>
    <row r="85" spans="1:4" ht="18" x14ac:dyDescent="0.2">
      <c r="A85" s="8" t="s">
        <v>621</v>
      </c>
      <c r="B85" s="8" t="s">
        <v>624</v>
      </c>
      <c r="C85" s="8" t="s">
        <v>622</v>
      </c>
      <c r="D85" s="8" t="s">
        <v>623</v>
      </c>
    </row>
    <row r="86" spans="1:4" ht="18" x14ac:dyDescent="0.2">
      <c r="A86" s="8" t="s">
        <v>625</v>
      </c>
      <c r="B86" s="8" t="s">
        <v>628</v>
      </c>
      <c r="C86" s="8" t="s">
        <v>626</v>
      </c>
      <c r="D86" s="8" t="s">
        <v>627</v>
      </c>
    </row>
    <row r="87" spans="1:4" ht="18" x14ac:dyDescent="0.2">
      <c r="A87" s="8" t="s">
        <v>629</v>
      </c>
      <c r="B87" s="8" t="s">
        <v>632</v>
      </c>
      <c r="C87" s="8" t="s">
        <v>630</v>
      </c>
      <c r="D87" s="8" t="s">
        <v>631</v>
      </c>
    </row>
    <row r="88" spans="1:4" ht="18" x14ac:dyDescent="0.2">
      <c r="A88" s="8" t="s">
        <v>633</v>
      </c>
      <c r="B88" s="8" t="s">
        <v>636</v>
      </c>
      <c r="C88" s="8" t="s">
        <v>634</v>
      </c>
      <c r="D88" s="8" t="s">
        <v>635</v>
      </c>
    </row>
    <row r="89" spans="1:4" ht="18" x14ac:dyDescent="0.2">
      <c r="A89" s="8" t="s">
        <v>637</v>
      </c>
      <c r="B89" s="8" t="s">
        <v>640</v>
      </c>
      <c r="C89" s="8" t="s">
        <v>638</v>
      </c>
      <c r="D89" s="8" t="s">
        <v>639</v>
      </c>
    </row>
    <row r="90" spans="1:4" ht="18" x14ac:dyDescent="0.2">
      <c r="A90" s="8" t="s">
        <v>641</v>
      </c>
      <c r="B90" s="8" t="s">
        <v>644</v>
      </c>
      <c r="C90" s="8" t="s">
        <v>642</v>
      </c>
      <c r="D90" s="8" t="s">
        <v>643</v>
      </c>
    </row>
    <row r="91" spans="1:4" ht="18" x14ac:dyDescent="0.2">
      <c r="A91" s="8" t="s">
        <v>645</v>
      </c>
      <c r="B91" s="8" t="s">
        <v>648</v>
      </c>
      <c r="C91" s="8" t="s">
        <v>646</v>
      </c>
      <c r="D91" s="8" t="s">
        <v>647</v>
      </c>
    </row>
    <row r="92" spans="1:4" ht="18" x14ac:dyDescent="0.2">
      <c r="A92" s="8" t="s">
        <v>649</v>
      </c>
      <c r="B92" s="8" t="s">
        <v>652</v>
      </c>
      <c r="C92" s="8" t="s">
        <v>650</v>
      </c>
      <c r="D92" s="8" t="s">
        <v>651</v>
      </c>
    </row>
    <row r="93" spans="1:4" ht="18" x14ac:dyDescent="0.2">
      <c r="A93" s="8" t="s">
        <v>653</v>
      </c>
      <c r="B93" s="8" t="s">
        <v>656</v>
      </c>
      <c r="C93" s="8" t="s">
        <v>654</v>
      </c>
      <c r="D93" s="8" t="s">
        <v>655</v>
      </c>
    </row>
    <row r="94" spans="1:4" ht="18" x14ac:dyDescent="0.2">
      <c r="A94" s="8" t="s">
        <v>657</v>
      </c>
      <c r="B94" s="8" t="s">
        <v>660</v>
      </c>
      <c r="C94" s="8" t="s">
        <v>658</v>
      </c>
      <c r="D94" s="8" t="s">
        <v>659</v>
      </c>
    </row>
    <row r="95" spans="1:4" ht="18" x14ac:dyDescent="0.2">
      <c r="A95" s="8" t="s">
        <v>661</v>
      </c>
      <c r="B95" s="8" t="s">
        <v>664</v>
      </c>
      <c r="C95" s="8" t="s">
        <v>662</v>
      </c>
      <c r="D95" s="8" t="s">
        <v>663</v>
      </c>
    </row>
    <row r="96" spans="1:4" ht="18" x14ac:dyDescent="0.2">
      <c r="A96" s="8" t="s">
        <v>665</v>
      </c>
      <c r="B96" s="8" t="s">
        <v>668</v>
      </c>
      <c r="C96" s="8" t="s">
        <v>666</v>
      </c>
      <c r="D96" s="8" t="s">
        <v>667</v>
      </c>
    </row>
    <row r="97" spans="1:4" ht="18" x14ac:dyDescent="0.2">
      <c r="A97" s="8" t="s">
        <v>669</v>
      </c>
      <c r="B97" s="8" t="s">
        <v>672</v>
      </c>
      <c r="C97" s="8" t="s">
        <v>670</v>
      </c>
      <c r="D97" s="8" t="s">
        <v>671</v>
      </c>
    </row>
    <row r="98" spans="1:4" ht="18" x14ac:dyDescent="0.2">
      <c r="A98" s="8" t="s">
        <v>673</v>
      </c>
      <c r="B98" s="8" t="s">
        <v>676</v>
      </c>
      <c r="C98" s="8" t="s">
        <v>674</v>
      </c>
      <c r="D98" s="8" t="s">
        <v>675</v>
      </c>
    </row>
    <row r="99" spans="1:4" ht="18" x14ac:dyDescent="0.2">
      <c r="A99" s="8" t="s">
        <v>677</v>
      </c>
      <c r="B99" s="8" t="s">
        <v>12</v>
      </c>
      <c r="C99" s="8" t="s">
        <v>678</v>
      </c>
      <c r="D99" s="8" t="s">
        <v>679</v>
      </c>
    </row>
    <row r="100" spans="1:4" ht="18" x14ac:dyDescent="0.2">
      <c r="A100" s="8" t="s">
        <v>680</v>
      </c>
      <c r="B100" s="8" t="s">
        <v>683</v>
      </c>
      <c r="C100" s="8" t="s">
        <v>681</v>
      </c>
      <c r="D100" s="8" t="s">
        <v>682</v>
      </c>
    </row>
    <row r="101" spans="1:4" ht="18" x14ac:dyDescent="0.2">
      <c r="A101" s="8" t="s">
        <v>684</v>
      </c>
      <c r="B101" s="8" t="s">
        <v>687</v>
      </c>
      <c r="C101" s="8" t="s">
        <v>685</v>
      </c>
      <c r="D101" s="8" t="s">
        <v>686</v>
      </c>
    </row>
    <row r="102" spans="1:4" ht="18" x14ac:dyDescent="0.2">
      <c r="A102" s="8" t="s">
        <v>688</v>
      </c>
      <c r="B102" s="8" t="s">
        <v>13</v>
      </c>
      <c r="C102" s="8" t="s">
        <v>689</v>
      </c>
      <c r="D102" s="8" t="s">
        <v>690</v>
      </c>
    </row>
    <row r="103" spans="1:4" ht="18" x14ac:dyDescent="0.2">
      <c r="A103" s="8" t="s">
        <v>691</v>
      </c>
      <c r="B103" s="8" t="s">
        <v>694</v>
      </c>
      <c r="C103" s="8" t="s">
        <v>692</v>
      </c>
      <c r="D103" s="8" t="s">
        <v>693</v>
      </c>
    </row>
    <row r="104" spans="1:4" ht="18" x14ac:dyDescent="0.2">
      <c r="A104" s="8" t="s">
        <v>695</v>
      </c>
      <c r="B104" s="8" t="s">
        <v>698</v>
      </c>
      <c r="C104" s="8" t="s">
        <v>696</v>
      </c>
      <c r="D104" s="8" t="s">
        <v>697</v>
      </c>
    </row>
    <row r="105" spans="1:4" ht="18" x14ac:dyDescent="0.2">
      <c r="A105" s="8" t="s">
        <v>699</v>
      </c>
      <c r="B105" s="8" t="s">
        <v>702</v>
      </c>
      <c r="C105" s="8" t="s">
        <v>700</v>
      </c>
      <c r="D105" s="8" t="s">
        <v>701</v>
      </c>
    </row>
    <row r="106" spans="1:4" ht="18" x14ac:dyDescent="0.2">
      <c r="A106" s="8" t="s">
        <v>703</v>
      </c>
      <c r="B106" s="8" t="s">
        <v>706</v>
      </c>
      <c r="C106" s="8" t="s">
        <v>704</v>
      </c>
      <c r="D106" s="8" t="s">
        <v>705</v>
      </c>
    </row>
    <row r="107" spans="1:4" ht="18" x14ac:dyDescent="0.2">
      <c r="A107" s="8" t="s">
        <v>707</v>
      </c>
      <c r="B107" s="8" t="s">
        <v>710</v>
      </c>
      <c r="C107" s="8" t="s">
        <v>708</v>
      </c>
      <c r="D107" s="8" t="s">
        <v>709</v>
      </c>
    </row>
    <row r="108" spans="1:4" ht="18" x14ac:dyDescent="0.2">
      <c r="A108" s="8" t="s">
        <v>711</v>
      </c>
      <c r="B108" s="8" t="s">
        <v>714</v>
      </c>
      <c r="C108" s="8" t="s">
        <v>712</v>
      </c>
      <c r="D108" s="8" t="s">
        <v>713</v>
      </c>
    </row>
    <row r="109" spans="1:4" ht="18" x14ac:dyDescent="0.2">
      <c r="A109" s="8" t="s">
        <v>715</v>
      </c>
      <c r="B109" s="8" t="s">
        <v>14</v>
      </c>
      <c r="C109" s="8" t="s">
        <v>716</v>
      </c>
      <c r="D109" s="8" t="s">
        <v>717</v>
      </c>
    </row>
    <row r="110" spans="1:4" ht="18" x14ac:dyDescent="0.2">
      <c r="A110" s="8" t="s">
        <v>718</v>
      </c>
      <c r="B110" s="8" t="s">
        <v>721</v>
      </c>
      <c r="C110" s="8" t="s">
        <v>719</v>
      </c>
      <c r="D110" s="8" t="s">
        <v>720</v>
      </c>
    </row>
    <row r="111" spans="1:4" ht="18" x14ac:dyDescent="0.2">
      <c r="A111" s="8" t="s">
        <v>722</v>
      </c>
      <c r="B111" s="8" t="s">
        <v>725</v>
      </c>
      <c r="C111" s="8" t="s">
        <v>723</v>
      </c>
      <c r="D111" s="8" t="s">
        <v>724</v>
      </c>
    </row>
    <row r="112" spans="1:4" ht="18" x14ac:dyDescent="0.2">
      <c r="A112" s="8" t="s">
        <v>726</v>
      </c>
      <c r="B112" s="8" t="s">
        <v>729</v>
      </c>
      <c r="C112" s="8" t="s">
        <v>727</v>
      </c>
      <c r="D112" s="8" t="s">
        <v>728</v>
      </c>
    </row>
    <row r="113" spans="1:4" ht="18" x14ac:dyDescent="0.2">
      <c r="A113" s="8" t="s">
        <v>730</v>
      </c>
      <c r="B113" s="8" t="s">
        <v>733</v>
      </c>
      <c r="C113" s="8" t="s">
        <v>731</v>
      </c>
      <c r="D113" s="8" t="s">
        <v>732</v>
      </c>
    </row>
    <row r="114" spans="1:4" ht="18" x14ac:dyDescent="0.2">
      <c r="A114" s="8" t="s">
        <v>734</v>
      </c>
      <c r="B114" s="8" t="s">
        <v>737</v>
      </c>
      <c r="C114" s="8" t="s">
        <v>735</v>
      </c>
      <c r="D114" s="8" t="s">
        <v>736</v>
      </c>
    </row>
    <row r="115" spans="1:4" ht="18" x14ac:dyDescent="0.2">
      <c r="A115" s="8" t="s">
        <v>738</v>
      </c>
      <c r="B115" s="8" t="s">
        <v>741</v>
      </c>
      <c r="C115" s="8" t="s">
        <v>739</v>
      </c>
      <c r="D115" s="8" t="s">
        <v>740</v>
      </c>
    </row>
    <row r="116" spans="1:4" ht="18" x14ac:dyDescent="0.2">
      <c r="A116" s="8" t="s">
        <v>742</v>
      </c>
      <c r="B116" s="8" t="s">
        <v>745</v>
      </c>
      <c r="C116" s="8" t="s">
        <v>743</v>
      </c>
      <c r="D116" s="8" t="s">
        <v>744</v>
      </c>
    </row>
    <row r="117" spans="1:4" ht="18" x14ac:dyDescent="0.2">
      <c r="A117" s="8" t="s">
        <v>746</v>
      </c>
      <c r="B117" s="8" t="s">
        <v>749</v>
      </c>
      <c r="C117" s="8" t="s">
        <v>747</v>
      </c>
      <c r="D117" s="8" t="s">
        <v>748</v>
      </c>
    </row>
    <row r="118" spans="1:4" ht="18" x14ac:dyDescent="0.2">
      <c r="A118" s="8" t="s">
        <v>750</v>
      </c>
      <c r="B118" s="8" t="s">
        <v>753</v>
      </c>
      <c r="C118" s="8" t="s">
        <v>751</v>
      </c>
      <c r="D118" s="8" t="s">
        <v>752</v>
      </c>
    </row>
    <row r="119" spans="1:4" ht="18" x14ac:dyDescent="0.2">
      <c r="A119" s="8" t="s">
        <v>754</v>
      </c>
      <c r="B119" s="8" t="s">
        <v>757</v>
      </c>
      <c r="C119" s="8" t="s">
        <v>755</v>
      </c>
      <c r="D119" s="8" t="s">
        <v>756</v>
      </c>
    </row>
    <row r="120" spans="1:4" ht="18" x14ac:dyDescent="0.2">
      <c r="A120" s="8" t="s">
        <v>758</v>
      </c>
      <c r="B120" s="8" t="s">
        <v>761</v>
      </c>
      <c r="C120" s="8" t="s">
        <v>759</v>
      </c>
      <c r="D120" s="8" t="s">
        <v>760</v>
      </c>
    </row>
    <row r="121" spans="1:4" ht="18" x14ac:dyDescent="0.2">
      <c r="A121" s="8" t="s">
        <v>762</v>
      </c>
      <c r="B121" s="8" t="s">
        <v>765</v>
      </c>
      <c r="C121" s="8" t="s">
        <v>763</v>
      </c>
      <c r="D121" s="8" t="s">
        <v>764</v>
      </c>
    </row>
    <row r="122" spans="1:4" ht="18" x14ac:dyDescent="0.2">
      <c r="A122" s="8" t="s">
        <v>766</v>
      </c>
      <c r="B122" s="8" t="s">
        <v>769</v>
      </c>
      <c r="C122" s="8" t="s">
        <v>767</v>
      </c>
      <c r="D122" s="8" t="s">
        <v>768</v>
      </c>
    </row>
    <row r="123" spans="1:4" ht="18" x14ac:dyDescent="0.2">
      <c r="A123" s="8" t="s">
        <v>770</v>
      </c>
      <c r="B123" s="8" t="s">
        <v>773</v>
      </c>
      <c r="C123" s="8" t="s">
        <v>771</v>
      </c>
      <c r="D123" s="8" t="s">
        <v>772</v>
      </c>
    </row>
    <row r="124" spans="1:4" ht="18" x14ac:dyDescent="0.2">
      <c r="A124" s="8" t="s">
        <v>774</v>
      </c>
      <c r="B124" s="8" t="s">
        <v>777</v>
      </c>
      <c r="C124" s="8" t="s">
        <v>775</v>
      </c>
      <c r="D124" s="8" t="s">
        <v>776</v>
      </c>
    </row>
    <row r="125" spans="1:4" ht="18" x14ac:dyDescent="0.2">
      <c r="A125" s="8" t="s">
        <v>778</v>
      </c>
      <c r="B125" s="8" t="s">
        <v>781</v>
      </c>
      <c r="C125" s="8" t="s">
        <v>779</v>
      </c>
      <c r="D125" s="8" t="s">
        <v>780</v>
      </c>
    </row>
    <row r="126" spans="1:4" ht="18" x14ac:dyDescent="0.2">
      <c r="A126" s="8" t="s">
        <v>782</v>
      </c>
      <c r="B126" s="8" t="s">
        <v>15</v>
      </c>
      <c r="C126" s="8" t="s">
        <v>783</v>
      </c>
      <c r="D126" s="8" t="s">
        <v>784</v>
      </c>
    </row>
    <row r="127" spans="1:4" ht="18" x14ac:dyDescent="0.2">
      <c r="A127" s="8" t="s">
        <v>785</v>
      </c>
      <c r="B127" s="8" t="s">
        <v>788</v>
      </c>
      <c r="C127" s="8" t="s">
        <v>786</v>
      </c>
      <c r="D127" s="8" t="s">
        <v>787</v>
      </c>
    </row>
    <row r="128" spans="1:4" ht="18" x14ac:dyDescent="0.2">
      <c r="A128" s="8" t="s">
        <v>789</v>
      </c>
      <c r="B128" s="8" t="s">
        <v>792</v>
      </c>
      <c r="C128" s="8" t="s">
        <v>790</v>
      </c>
      <c r="D128" s="8" t="s">
        <v>791</v>
      </c>
    </row>
    <row r="129" spans="1:4" ht="18" x14ac:dyDescent="0.2">
      <c r="A129" s="8" t="s">
        <v>793</v>
      </c>
      <c r="B129" s="8" t="s">
        <v>796</v>
      </c>
      <c r="C129" s="8" t="s">
        <v>794</v>
      </c>
      <c r="D129" s="8" t="s">
        <v>795</v>
      </c>
    </row>
    <row r="130" spans="1:4" ht="18" x14ac:dyDescent="0.2">
      <c r="A130" s="8" t="s">
        <v>797</v>
      </c>
      <c r="B130" s="8" t="s">
        <v>800</v>
      </c>
      <c r="C130" s="8" t="s">
        <v>798</v>
      </c>
      <c r="D130" s="8" t="s">
        <v>799</v>
      </c>
    </row>
    <row r="131" spans="1:4" ht="18" x14ac:dyDescent="0.2">
      <c r="A131" s="8" t="s">
        <v>801</v>
      </c>
      <c r="B131" s="8" t="s">
        <v>804</v>
      </c>
      <c r="C131" s="8" t="s">
        <v>802</v>
      </c>
      <c r="D131" s="8" t="s">
        <v>803</v>
      </c>
    </row>
    <row r="132" spans="1:4" ht="18" x14ac:dyDescent="0.2">
      <c r="A132" s="8" t="s">
        <v>805</v>
      </c>
      <c r="B132" s="8" t="s">
        <v>808</v>
      </c>
      <c r="C132" s="8" t="s">
        <v>806</v>
      </c>
      <c r="D132" s="8" t="s">
        <v>807</v>
      </c>
    </row>
    <row r="133" spans="1:4" ht="18" x14ac:dyDescent="0.2">
      <c r="A133" s="8" t="s">
        <v>809</v>
      </c>
      <c r="B133" s="8" t="s">
        <v>812</v>
      </c>
      <c r="C133" s="8" t="s">
        <v>810</v>
      </c>
      <c r="D133" s="8" t="s">
        <v>811</v>
      </c>
    </row>
    <row r="134" spans="1:4" ht="18" x14ac:dyDescent="0.2">
      <c r="A134" s="8" t="s">
        <v>813</v>
      </c>
      <c r="B134" s="8" t="s">
        <v>816</v>
      </c>
      <c r="C134" s="8" t="s">
        <v>814</v>
      </c>
      <c r="D134" s="8" t="s">
        <v>815</v>
      </c>
    </row>
    <row r="135" spans="1:4" ht="18" x14ac:dyDescent="0.2">
      <c r="A135" s="8" t="s">
        <v>817</v>
      </c>
      <c r="B135" s="8" t="s">
        <v>820</v>
      </c>
      <c r="C135" s="8" t="s">
        <v>818</v>
      </c>
      <c r="D135" s="8" t="s">
        <v>819</v>
      </c>
    </row>
    <row r="136" spans="1:4" ht="18" x14ac:dyDescent="0.2">
      <c r="A136" s="8" t="s">
        <v>821</v>
      </c>
      <c r="B136" s="8" t="s">
        <v>824</v>
      </c>
      <c r="C136" s="8" t="s">
        <v>822</v>
      </c>
      <c r="D136" s="8" t="s">
        <v>823</v>
      </c>
    </row>
    <row r="137" spans="1:4" ht="18" x14ac:dyDescent="0.2">
      <c r="A137" s="8" t="s">
        <v>825</v>
      </c>
      <c r="B137" s="8" t="s">
        <v>828</v>
      </c>
      <c r="C137" s="8" t="s">
        <v>826</v>
      </c>
      <c r="D137" s="8" t="s">
        <v>827</v>
      </c>
    </row>
    <row r="138" spans="1:4" ht="18" x14ac:dyDescent="0.2">
      <c r="A138" s="8" t="s">
        <v>829</v>
      </c>
      <c r="B138" s="8" t="s">
        <v>832</v>
      </c>
      <c r="C138" s="8" t="s">
        <v>830</v>
      </c>
      <c r="D138" s="8" t="s">
        <v>831</v>
      </c>
    </row>
    <row r="139" spans="1:4" ht="18" x14ac:dyDescent="0.2">
      <c r="A139" s="8" t="s">
        <v>833</v>
      </c>
      <c r="B139" s="8" t="s">
        <v>836</v>
      </c>
      <c r="C139" s="8" t="s">
        <v>834</v>
      </c>
      <c r="D139" s="8" t="s">
        <v>835</v>
      </c>
    </row>
    <row r="140" spans="1:4" ht="18" x14ac:dyDescent="0.2">
      <c r="A140" s="8" t="s">
        <v>837</v>
      </c>
      <c r="B140" s="8" t="s">
        <v>840</v>
      </c>
      <c r="C140" s="8" t="s">
        <v>838</v>
      </c>
      <c r="D140" s="8" t="s">
        <v>839</v>
      </c>
    </row>
    <row r="141" spans="1:4" ht="18" x14ac:dyDescent="0.2">
      <c r="A141" s="8" t="s">
        <v>841</v>
      </c>
      <c r="B141" s="8" t="s">
        <v>844</v>
      </c>
      <c r="C141" s="8" t="s">
        <v>842</v>
      </c>
      <c r="D141" s="8" t="s">
        <v>843</v>
      </c>
    </row>
    <row r="142" spans="1:4" ht="18" x14ac:dyDescent="0.2">
      <c r="A142" s="8" t="s">
        <v>845</v>
      </c>
      <c r="B142" s="8" t="s">
        <v>848</v>
      </c>
      <c r="C142" s="8" t="s">
        <v>846</v>
      </c>
      <c r="D142" s="8" t="s">
        <v>847</v>
      </c>
    </row>
    <row r="143" spans="1:4" ht="18" x14ac:dyDescent="0.2">
      <c r="A143" s="8" t="s">
        <v>849</v>
      </c>
      <c r="B143" s="8" t="s">
        <v>852</v>
      </c>
      <c r="C143" s="8" t="s">
        <v>850</v>
      </c>
      <c r="D143" s="8" t="s">
        <v>851</v>
      </c>
    </row>
    <row r="144" spans="1:4" ht="18" x14ac:dyDescent="0.2">
      <c r="A144" s="8" t="s">
        <v>853</v>
      </c>
      <c r="B144" s="8" t="s">
        <v>856</v>
      </c>
      <c r="C144" s="8" t="s">
        <v>854</v>
      </c>
      <c r="D144" s="8" t="s">
        <v>855</v>
      </c>
    </row>
    <row r="145" spans="1:4" ht="18" x14ac:dyDescent="0.2">
      <c r="A145" s="8" t="s">
        <v>857</v>
      </c>
      <c r="B145" s="8" t="s">
        <v>860</v>
      </c>
      <c r="C145" s="8" t="s">
        <v>858</v>
      </c>
      <c r="D145" s="8" t="s">
        <v>859</v>
      </c>
    </row>
    <row r="146" spans="1:4" ht="18" x14ac:dyDescent="0.2">
      <c r="A146" s="8" t="s">
        <v>861</v>
      </c>
      <c r="B146" s="8" t="s">
        <v>864</v>
      </c>
      <c r="C146" s="8" t="s">
        <v>862</v>
      </c>
      <c r="D146" s="8" t="s">
        <v>863</v>
      </c>
    </row>
    <row r="147" spans="1:4" ht="18" x14ac:dyDescent="0.2">
      <c r="A147" s="8" t="s">
        <v>865</v>
      </c>
      <c r="B147" s="8" t="s">
        <v>868</v>
      </c>
      <c r="C147" s="8" t="s">
        <v>866</v>
      </c>
      <c r="D147" s="8" t="s">
        <v>867</v>
      </c>
    </row>
    <row r="148" spans="1:4" ht="18" x14ac:dyDescent="0.2">
      <c r="A148" s="8" t="s">
        <v>869</v>
      </c>
      <c r="B148" s="8" t="s">
        <v>872</v>
      </c>
      <c r="C148" s="8" t="s">
        <v>870</v>
      </c>
      <c r="D148" s="8" t="s">
        <v>871</v>
      </c>
    </row>
    <row r="149" spans="1:4" ht="18" x14ac:dyDescent="0.2">
      <c r="A149" s="8" t="s">
        <v>873</v>
      </c>
      <c r="B149" s="8" t="s">
        <v>876</v>
      </c>
      <c r="C149" s="8" t="s">
        <v>874</v>
      </c>
      <c r="D149" s="8" t="s">
        <v>875</v>
      </c>
    </row>
    <row r="150" spans="1:4" ht="18" x14ac:dyDescent="0.2">
      <c r="A150" s="8" t="s">
        <v>877</v>
      </c>
      <c r="B150" s="8" t="s">
        <v>880</v>
      </c>
      <c r="C150" s="8" t="s">
        <v>878</v>
      </c>
      <c r="D150" s="8" t="s">
        <v>879</v>
      </c>
    </row>
    <row r="151" spans="1:4" ht="18" x14ac:dyDescent="0.2">
      <c r="A151" s="8" t="s">
        <v>881</v>
      </c>
      <c r="B151" s="8" t="s">
        <v>884</v>
      </c>
      <c r="C151" s="8" t="s">
        <v>882</v>
      </c>
      <c r="D151" s="8" t="s">
        <v>883</v>
      </c>
    </row>
    <row r="152" spans="1:4" ht="18" x14ac:dyDescent="0.2">
      <c r="A152" s="8" t="s">
        <v>885</v>
      </c>
      <c r="B152" s="8" t="s">
        <v>888</v>
      </c>
      <c r="C152" s="8" t="s">
        <v>886</v>
      </c>
      <c r="D152" s="8" t="s">
        <v>887</v>
      </c>
    </row>
    <row r="153" spans="1:4" ht="18" x14ac:dyDescent="0.2">
      <c r="A153" s="8" t="s">
        <v>889</v>
      </c>
      <c r="B153" s="8" t="s">
        <v>892</v>
      </c>
      <c r="C153" s="8" t="s">
        <v>890</v>
      </c>
      <c r="D153" s="8" t="s">
        <v>891</v>
      </c>
    </row>
    <row r="154" spans="1:4" ht="18" x14ac:dyDescent="0.2">
      <c r="A154" s="8" t="s">
        <v>893</v>
      </c>
      <c r="B154" s="8" t="s">
        <v>896</v>
      </c>
      <c r="C154" s="8" t="s">
        <v>894</v>
      </c>
      <c r="D154" s="8" t="s">
        <v>895</v>
      </c>
    </row>
    <row r="155" spans="1:4" ht="18" x14ac:dyDescent="0.2">
      <c r="A155" s="8" t="s">
        <v>897</v>
      </c>
      <c r="B155" s="8" t="s">
        <v>16</v>
      </c>
      <c r="C155" s="8" t="s">
        <v>898</v>
      </c>
      <c r="D155" s="8" t="s">
        <v>899</v>
      </c>
    </row>
    <row r="156" spans="1:4" ht="18" x14ac:dyDescent="0.2">
      <c r="A156" s="8" t="s">
        <v>900</v>
      </c>
      <c r="B156" s="8" t="s">
        <v>903</v>
      </c>
      <c r="C156" s="8" t="s">
        <v>901</v>
      </c>
      <c r="D156" s="8" t="s">
        <v>902</v>
      </c>
    </row>
    <row r="157" spans="1:4" ht="18" x14ac:dyDescent="0.2">
      <c r="A157" s="8" t="s">
        <v>904</v>
      </c>
      <c r="B157" s="8" t="s">
        <v>907</v>
      </c>
      <c r="C157" s="8" t="s">
        <v>905</v>
      </c>
      <c r="D157" s="8" t="s">
        <v>906</v>
      </c>
    </row>
    <row r="158" spans="1:4" ht="18" x14ac:dyDescent="0.2">
      <c r="A158" s="8" t="s">
        <v>908</v>
      </c>
      <c r="B158" s="8" t="s">
        <v>911</v>
      </c>
      <c r="C158" s="8" t="s">
        <v>909</v>
      </c>
      <c r="D158" s="8" t="s">
        <v>910</v>
      </c>
    </row>
    <row r="159" spans="1:4" ht="18" x14ac:dyDescent="0.2">
      <c r="A159" s="8" t="s">
        <v>912</v>
      </c>
      <c r="B159" s="8" t="s">
        <v>915</v>
      </c>
      <c r="C159" s="8" t="s">
        <v>913</v>
      </c>
      <c r="D159" s="8" t="s">
        <v>914</v>
      </c>
    </row>
    <row r="160" spans="1:4" ht="18" x14ac:dyDescent="0.2">
      <c r="A160" s="8" t="s">
        <v>916</v>
      </c>
      <c r="B160" s="8" t="s">
        <v>919</v>
      </c>
      <c r="C160" s="8" t="s">
        <v>917</v>
      </c>
      <c r="D160" s="8" t="s">
        <v>918</v>
      </c>
    </row>
    <row r="161" spans="1:4" ht="18" x14ac:dyDescent="0.2">
      <c r="A161" s="8" t="s">
        <v>920</v>
      </c>
      <c r="B161" s="8" t="s">
        <v>923</v>
      </c>
      <c r="C161" s="8" t="s">
        <v>921</v>
      </c>
      <c r="D161" s="8" t="s">
        <v>922</v>
      </c>
    </row>
    <row r="162" spans="1:4" ht="18" x14ac:dyDescent="0.2">
      <c r="A162" s="8" t="s">
        <v>924</v>
      </c>
      <c r="B162" s="8" t="s">
        <v>927</v>
      </c>
      <c r="C162" s="8" t="s">
        <v>925</v>
      </c>
      <c r="D162" s="8" t="s">
        <v>926</v>
      </c>
    </row>
    <row r="163" spans="1:4" ht="18" x14ac:dyDescent="0.2">
      <c r="A163" s="8" t="s">
        <v>928</v>
      </c>
      <c r="B163" s="8" t="s">
        <v>931</v>
      </c>
      <c r="C163" s="8" t="s">
        <v>929</v>
      </c>
      <c r="D163" s="8" t="s">
        <v>930</v>
      </c>
    </row>
    <row r="164" spans="1:4" ht="18" x14ac:dyDescent="0.2">
      <c r="A164" s="8" t="s">
        <v>932</v>
      </c>
      <c r="B164" s="8" t="s">
        <v>17</v>
      </c>
      <c r="C164" s="8" t="s">
        <v>933</v>
      </c>
      <c r="D164" s="8" t="s">
        <v>934</v>
      </c>
    </row>
    <row r="165" spans="1:4" ht="18" x14ac:dyDescent="0.2">
      <c r="A165" s="8" t="s">
        <v>935</v>
      </c>
      <c r="B165" s="8" t="s">
        <v>938</v>
      </c>
      <c r="C165" s="8" t="s">
        <v>936</v>
      </c>
      <c r="D165" s="8" t="s">
        <v>937</v>
      </c>
    </row>
    <row r="166" spans="1:4" ht="18" x14ac:dyDescent="0.2">
      <c r="A166" s="8" t="s">
        <v>939</v>
      </c>
      <c r="B166" s="8" t="s">
        <v>942</v>
      </c>
      <c r="C166" s="8" t="s">
        <v>940</v>
      </c>
      <c r="D166" s="8" t="s">
        <v>941</v>
      </c>
    </row>
    <row r="167" spans="1:4" ht="18" x14ac:dyDescent="0.2">
      <c r="A167" s="8" t="s">
        <v>943</v>
      </c>
      <c r="B167" s="8" t="s">
        <v>946</v>
      </c>
      <c r="C167" s="8" t="s">
        <v>944</v>
      </c>
      <c r="D167" s="8" t="s">
        <v>945</v>
      </c>
    </row>
    <row r="168" spans="1:4" ht="18" x14ac:dyDescent="0.2">
      <c r="A168" s="8" t="s">
        <v>947</v>
      </c>
      <c r="B168" s="8" t="s">
        <v>950</v>
      </c>
      <c r="C168" s="8" t="s">
        <v>948</v>
      </c>
      <c r="D168" s="8" t="s">
        <v>949</v>
      </c>
    </row>
    <row r="169" spans="1:4" ht="18" x14ac:dyDescent="0.2">
      <c r="A169" s="8" t="s">
        <v>951</v>
      </c>
      <c r="B169" s="8" t="s">
        <v>954</v>
      </c>
      <c r="C169" s="8" t="s">
        <v>952</v>
      </c>
      <c r="D169" s="8" t="s">
        <v>953</v>
      </c>
    </row>
    <row r="170" spans="1:4" ht="18" x14ac:dyDescent="0.2">
      <c r="A170" s="8" t="s">
        <v>955</v>
      </c>
      <c r="B170" s="8" t="s">
        <v>958</v>
      </c>
      <c r="C170" s="8" t="s">
        <v>956</v>
      </c>
      <c r="D170" s="8" t="s">
        <v>957</v>
      </c>
    </row>
    <row r="171" spans="1:4" ht="18" x14ac:dyDescent="0.2">
      <c r="A171" s="8" t="s">
        <v>959</v>
      </c>
      <c r="B171" s="8" t="s">
        <v>962</v>
      </c>
      <c r="C171" s="8" t="s">
        <v>960</v>
      </c>
      <c r="D171" s="8" t="s">
        <v>961</v>
      </c>
    </row>
    <row r="172" spans="1:4" ht="18" x14ac:dyDescent="0.2">
      <c r="A172" s="8" t="s">
        <v>963</v>
      </c>
      <c r="B172" s="8" t="s">
        <v>966</v>
      </c>
      <c r="C172" s="8" t="s">
        <v>964</v>
      </c>
      <c r="D172" s="8" t="s">
        <v>965</v>
      </c>
    </row>
    <row r="173" spans="1:4" ht="18" x14ac:dyDescent="0.2">
      <c r="A173" s="8" t="s">
        <v>967</v>
      </c>
      <c r="B173" s="8" t="s">
        <v>970</v>
      </c>
      <c r="C173" s="8" t="s">
        <v>968</v>
      </c>
      <c r="D173" s="8" t="s">
        <v>969</v>
      </c>
    </row>
    <row r="174" spans="1:4" ht="18" x14ac:dyDescent="0.2">
      <c r="A174" s="8" t="s">
        <v>971</v>
      </c>
      <c r="B174" s="8" t="s">
        <v>974</v>
      </c>
      <c r="C174" s="8" t="s">
        <v>972</v>
      </c>
      <c r="D174" s="8" t="s">
        <v>973</v>
      </c>
    </row>
    <row r="175" spans="1:4" ht="18" x14ac:dyDescent="0.2">
      <c r="A175" s="8" t="s">
        <v>975</v>
      </c>
      <c r="B175" s="8" t="s">
        <v>978</v>
      </c>
      <c r="C175" s="8" t="s">
        <v>976</v>
      </c>
      <c r="D175" s="8" t="s">
        <v>977</v>
      </c>
    </row>
    <row r="176" spans="1:4" ht="18" x14ac:dyDescent="0.2">
      <c r="A176" s="8" t="s">
        <v>979</v>
      </c>
      <c r="B176" s="8" t="s">
        <v>982</v>
      </c>
      <c r="C176" s="8" t="s">
        <v>980</v>
      </c>
      <c r="D176" s="8" t="s">
        <v>981</v>
      </c>
    </row>
    <row r="177" spans="1:4" ht="18" x14ac:dyDescent="0.2">
      <c r="A177" s="8" t="s">
        <v>983</v>
      </c>
      <c r="B177" s="8" t="s">
        <v>18</v>
      </c>
      <c r="C177" s="8" t="s">
        <v>984</v>
      </c>
      <c r="D177" s="8" t="s">
        <v>985</v>
      </c>
    </row>
    <row r="178" spans="1:4" ht="18" x14ac:dyDescent="0.2">
      <c r="A178" s="8" t="s">
        <v>986</v>
      </c>
      <c r="B178" s="8" t="s">
        <v>989</v>
      </c>
      <c r="C178" s="8" t="s">
        <v>987</v>
      </c>
      <c r="D178" s="8" t="s">
        <v>988</v>
      </c>
    </row>
    <row r="179" spans="1:4" ht="18" x14ac:dyDescent="0.2">
      <c r="A179" s="8" t="s">
        <v>990</v>
      </c>
      <c r="B179" s="8" t="s">
        <v>993</v>
      </c>
      <c r="C179" s="8" t="s">
        <v>991</v>
      </c>
      <c r="D179" s="8" t="s">
        <v>992</v>
      </c>
    </row>
    <row r="180" spans="1:4" ht="18" x14ac:dyDescent="0.2">
      <c r="A180" s="8" t="s">
        <v>994</v>
      </c>
      <c r="B180" s="8" t="s">
        <v>131</v>
      </c>
      <c r="C180" s="8" t="s">
        <v>995</v>
      </c>
      <c r="D180" s="8" t="s">
        <v>996</v>
      </c>
    </row>
    <row r="181" spans="1:4" ht="18" x14ac:dyDescent="0.2">
      <c r="A181" s="8" t="s">
        <v>997</v>
      </c>
      <c r="B181" s="8" t="s">
        <v>1000</v>
      </c>
      <c r="C181" s="8" t="s">
        <v>998</v>
      </c>
      <c r="D181" s="8" t="s">
        <v>999</v>
      </c>
    </row>
    <row r="182" spans="1:4" ht="18" x14ac:dyDescent="0.2">
      <c r="A182" s="8" t="s">
        <v>1001</v>
      </c>
      <c r="B182" s="8" t="s">
        <v>1004</v>
      </c>
      <c r="C182" s="8" t="s">
        <v>1002</v>
      </c>
      <c r="D182" s="8" t="s">
        <v>1003</v>
      </c>
    </row>
    <row r="183" spans="1:4" ht="18" x14ac:dyDescent="0.2">
      <c r="A183" s="8" t="s">
        <v>1005</v>
      </c>
      <c r="B183" s="8" t="s">
        <v>1008</v>
      </c>
      <c r="C183" s="8" t="s">
        <v>1006</v>
      </c>
      <c r="D183" s="8" t="s">
        <v>1007</v>
      </c>
    </row>
    <row r="184" spans="1:4" ht="18" x14ac:dyDescent="0.2">
      <c r="A184" s="8" t="s">
        <v>1009</v>
      </c>
      <c r="B184" s="8" t="s">
        <v>1012</v>
      </c>
      <c r="C184" s="8" t="s">
        <v>1010</v>
      </c>
      <c r="D184" s="8" t="s">
        <v>1011</v>
      </c>
    </row>
    <row r="185" spans="1:4" ht="18" x14ac:dyDescent="0.2">
      <c r="A185" s="8" t="s">
        <v>1013</v>
      </c>
      <c r="B185" s="8" t="s">
        <v>1016</v>
      </c>
      <c r="C185" s="8" t="s">
        <v>1014</v>
      </c>
      <c r="D185" s="8" t="s">
        <v>1015</v>
      </c>
    </row>
    <row r="186" spans="1:4" ht="18" x14ac:dyDescent="0.2">
      <c r="A186" s="8" t="s">
        <v>1017</v>
      </c>
      <c r="B186" s="8" t="s">
        <v>1020</v>
      </c>
      <c r="C186" s="8" t="s">
        <v>1018</v>
      </c>
      <c r="D186" s="8" t="s">
        <v>1019</v>
      </c>
    </row>
    <row r="187" spans="1:4" ht="18" x14ac:dyDescent="0.2">
      <c r="A187" s="8" t="s">
        <v>1021</v>
      </c>
      <c r="B187" s="8" t="s">
        <v>19</v>
      </c>
      <c r="C187" s="8" t="s">
        <v>1022</v>
      </c>
      <c r="D187" s="8" t="s">
        <v>1023</v>
      </c>
    </row>
    <row r="188" spans="1:4" ht="18" x14ac:dyDescent="0.2">
      <c r="A188" s="8" t="s">
        <v>1024</v>
      </c>
      <c r="B188" s="8" t="s">
        <v>1027</v>
      </c>
      <c r="C188" s="8" t="s">
        <v>1025</v>
      </c>
      <c r="D188" s="8" t="s">
        <v>1026</v>
      </c>
    </row>
    <row r="189" spans="1:4" ht="18" x14ac:dyDescent="0.2">
      <c r="A189" s="8" t="s">
        <v>1028</v>
      </c>
      <c r="B189" s="8" t="s">
        <v>1031</v>
      </c>
      <c r="C189" s="8" t="s">
        <v>1029</v>
      </c>
      <c r="D189" s="8" t="s">
        <v>1030</v>
      </c>
    </row>
    <row r="190" spans="1:4" ht="18" x14ac:dyDescent="0.2">
      <c r="A190" s="8" t="s">
        <v>1032</v>
      </c>
      <c r="B190" s="8" t="s">
        <v>1035</v>
      </c>
      <c r="C190" s="8" t="s">
        <v>1033</v>
      </c>
      <c r="D190" s="8" t="s">
        <v>1034</v>
      </c>
    </row>
    <row r="191" spans="1:4" ht="18" x14ac:dyDescent="0.2">
      <c r="A191" s="8" t="s">
        <v>1036</v>
      </c>
      <c r="B191" s="8" t="s">
        <v>1039</v>
      </c>
      <c r="C191" s="8" t="s">
        <v>1037</v>
      </c>
      <c r="D191" s="8" t="s">
        <v>1038</v>
      </c>
    </row>
    <row r="192" spans="1:4" ht="18" x14ac:dyDescent="0.2">
      <c r="A192" s="8" t="s">
        <v>1040</v>
      </c>
      <c r="B192" s="8" t="s">
        <v>1043</v>
      </c>
      <c r="C192" s="8" t="s">
        <v>1041</v>
      </c>
      <c r="D192" s="8" t="s">
        <v>1042</v>
      </c>
    </row>
    <row r="193" spans="1:4" ht="18" x14ac:dyDescent="0.2">
      <c r="A193" s="8" t="s">
        <v>1044</v>
      </c>
      <c r="B193" s="8" t="s">
        <v>1047</v>
      </c>
      <c r="C193" s="8" t="s">
        <v>1045</v>
      </c>
      <c r="D193" s="8" t="s">
        <v>1046</v>
      </c>
    </row>
    <row r="194" spans="1:4" ht="18" x14ac:dyDescent="0.2">
      <c r="A194" s="8" t="s">
        <v>1048</v>
      </c>
      <c r="B194" s="8" t="s">
        <v>1051</v>
      </c>
      <c r="C194" s="8" t="s">
        <v>1049</v>
      </c>
      <c r="D194" s="8" t="s">
        <v>1050</v>
      </c>
    </row>
    <row r="195" spans="1:4" ht="18" x14ac:dyDescent="0.2">
      <c r="A195" s="8" t="s">
        <v>1052</v>
      </c>
      <c r="B195" s="8" t="s">
        <v>24</v>
      </c>
      <c r="C195" s="8" t="s">
        <v>1053</v>
      </c>
      <c r="D195" s="8" t="s">
        <v>1054</v>
      </c>
    </row>
    <row r="196" spans="1:4" ht="18" x14ac:dyDescent="0.2">
      <c r="A196" s="8" t="s">
        <v>1055</v>
      </c>
      <c r="B196" s="8" t="s">
        <v>1058</v>
      </c>
      <c r="C196" s="8" t="s">
        <v>1056</v>
      </c>
      <c r="D196" s="8" t="s">
        <v>1057</v>
      </c>
    </row>
    <row r="197" spans="1:4" ht="18" x14ac:dyDescent="0.2">
      <c r="A197" s="8" t="s">
        <v>1059</v>
      </c>
      <c r="B197" s="8" t="s">
        <v>1062</v>
      </c>
      <c r="C197" s="8" t="s">
        <v>1060</v>
      </c>
      <c r="D197" s="8" t="s">
        <v>1061</v>
      </c>
    </row>
    <row r="198" spans="1:4" ht="18" x14ac:dyDescent="0.2">
      <c r="A198" s="8" t="s">
        <v>1063</v>
      </c>
      <c r="B198" s="8" t="s">
        <v>21</v>
      </c>
      <c r="C198" s="8" t="s">
        <v>1064</v>
      </c>
      <c r="D198" s="8" t="s">
        <v>1065</v>
      </c>
    </row>
    <row r="199" spans="1:4" ht="18" x14ac:dyDescent="0.2">
      <c r="A199" s="8" t="s">
        <v>1066</v>
      </c>
      <c r="B199" s="8" t="s">
        <v>1069</v>
      </c>
      <c r="C199" s="8" t="s">
        <v>1067</v>
      </c>
      <c r="D199" s="8" t="s">
        <v>1068</v>
      </c>
    </row>
    <row r="200" spans="1:4" ht="18" x14ac:dyDescent="0.2">
      <c r="A200" s="8" t="s">
        <v>1070</v>
      </c>
      <c r="B200" s="8" t="s">
        <v>1073</v>
      </c>
      <c r="C200" s="8" t="s">
        <v>1071</v>
      </c>
      <c r="D200" s="8" t="s">
        <v>1072</v>
      </c>
    </row>
    <row r="201" spans="1:4" ht="18" x14ac:dyDescent="0.2">
      <c r="A201" s="8" t="s">
        <v>1074</v>
      </c>
      <c r="B201" s="8" t="s">
        <v>1077</v>
      </c>
      <c r="C201" s="8" t="s">
        <v>1075</v>
      </c>
      <c r="D201" s="8" t="s">
        <v>1076</v>
      </c>
    </row>
    <row r="202" spans="1:4" ht="18" x14ac:dyDescent="0.2">
      <c r="A202" s="8" t="s">
        <v>1078</v>
      </c>
      <c r="B202" s="8" t="s">
        <v>1081</v>
      </c>
      <c r="C202" s="8" t="s">
        <v>1079</v>
      </c>
      <c r="D202" s="8" t="s">
        <v>1080</v>
      </c>
    </row>
    <row r="203" spans="1:4" ht="18" x14ac:dyDescent="0.2">
      <c r="A203" s="8" t="s">
        <v>1082</v>
      </c>
      <c r="B203" s="8" t="s">
        <v>1085</v>
      </c>
      <c r="C203" s="8" t="s">
        <v>1083</v>
      </c>
      <c r="D203" s="8" t="s">
        <v>1084</v>
      </c>
    </row>
    <row r="204" spans="1:4" ht="18" x14ac:dyDescent="0.2">
      <c r="A204" s="8" t="s">
        <v>1086</v>
      </c>
      <c r="B204" s="8" t="s">
        <v>1089</v>
      </c>
      <c r="C204" s="8" t="s">
        <v>1087</v>
      </c>
      <c r="D204" s="8" t="s">
        <v>1088</v>
      </c>
    </row>
    <row r="205" spans="1:4" ht="18" x14ac:dyDescent="0.2">
      <c r="A205" s="8" t="s">
        <v>1090</v>
      </c>
      <c r="B205" s="8" t="s">
        <v>1093</v>
      </c>
      <c r="C205" s="8" t="s">
        <v>1091</v>
      </c>
      <c r="D205" s="8" t="s">
        <v>1092</v>
      </c>
    </row>
    <row r="206" spans="1:4" ht="18" x14ac:dyDescent="0.2">
      <c r="A206" s="8" t="s">
        <v>1094</v>
      </c>
      <c r="B206" s="8" t="s">
        <v>1097</v>
      </c>
      <c r="C206" s="8" t="s">
        <v>1095</v>
      </c>
      <c r="D206" s="8" t="s">
        <v>1096</v>
      </c>
    </row>
    <row r="207" spans="1:4" ht="18" x14ac:dyDescent="0.2">
      <c r="A207" s="8" t="s">
        <v>1098</v>
      </c>
      <c r="B207" s="8" t="s">
        <v>1101</v>
      </c>
      <c r="C207" s="8" t="s">
        <v>1099</v>
      </c>
      <c r="D207" s="8" t="s">
        <v>1100</v>
      </c>
    </row>
    <row r="208" spans="1:4" ht="18" x14ac:dyDescent="0.2">
      <c r="A208" s="8" t="s">
        <v>1102</v>
      </c>
      <c r="B208" s="8" t="s">
        <v>1105</v>
      </c>
      <c r="C208" s="8" t="s">
        <v>1103</v>
      </c>
      <c r="D208" s="8" t="s">
        <v>1104</v>
      </c>
    </row>
    <row r="209" spans="1:4" ht="18" x14ac:dyDescent="0.2">
      <c r="A209" s="8" t="s">
        <v>1106</v>
      </c>
      <c r="B209" s="8" t="s">
        <v>1109</v>
      </c>
      <c r="C209" s="8" t="s">
        <v>1107</v>
      </c>
      <c r="D209" s="8" t="s">
        <v>1108</v>
      </c>
    </row>
    <row r="210" spans="1:4" ht="18" x14ac:dyDescent="0.2">
      <c r="A210" s="8" t="s">
        <v>1110</v>
      </c>
      <c r="B210" s="8" t="s">
        <v>1113</v>
      </c>
      <c r="C210" s="8" t="s">
        <v>1111</v>
      </c>
      <c r="D210" s="8" t="s">
        <v>1112</v>
      </c>
    </row>
    <row r="211" spans="1:4" ht="18" x14ac:dyDescent="0.2">
      <c r="A211" s="8" t="s">
        <v>1114</v>
      </c>
      <c r="B211" s="8" t="s">
        <v>1117</v>
      </c>
      <c r="C211" s="8" t="s">
        <v>1115</v>
      </c>
      <c r="D211" s="8" t="s">
        <v>1116</v>
      </c>
    </row>
    <row r="212" spans="1:4" ht="18" x14ac:dyDescent="0.2">
      <c r="A212" s="8" t="s">
        <v>1118</v>
      </c>
      <c r="B212" s="8" t="s">
        <v>1121</v>
      </c>
      <c r="C212" s="8" t="s">
        <v>1119</v>
      </c>
      <c r="D212" s="8" t="s">
        <v>1120</v>
      </c>
    </row>
    <row r="213" spans="1:4" ht="18" x14ac:dyDescent="0.2">
      <c r="A213" s="8" t="s">
        <v>1122</v>
      </c>
      <c r="B213" s="8" t="s">
        <v>1125</v>
      </c>
      <c r="C213" s="8" t="s">
        <v>1123</v>
      </c>
      <c r="D213" s="8" t="s">
        <v>1124</v>
      </c>
    </row>
    <row r="214" spans="1:4" ht="18" x14ac:dyDescent="0.2">
      <c r="A214" s="8" t="s">
        <v>1126</v>
      </c>
      <c r="B214" s="8" t="s">
        <v>1129</v>
      </c>
      <c r="C214" s="8" t="s">
        <v>1127</v>
      </c>
      <c r="D214" s="8" t="s">
        <v>1128</v>
      </c>
    </row>
    <row r="215" spans="1:4" ht="18" x14ac:dyDescent="0.2">
      <c r="A215" s="8" t="s">
        <v>1130</v>
      </c>
      <c r="B215" s="8" t="s">
        <v>1133</v>
      </c>
      <c r="C215" s="8" t="s">
        <v>1131</v>
      </c>
      <c r="D215" s="8" t="s">
        <v>1132</v>
      </c>
    </row>
    <row r="216" spans="1:4" ht="18" x14ac:dyDescent="0.2">
      <c r="A216" s="8" t="s">
        <v>1134</v>
      </c>
      <c r="B216" s="8" t="s">
        <v>1137</v>
      </c>
      <c r="C216" s="8" t="s">
        <v>1135</v>
      </c>
      <c r="D216" s="8" t="s">
        <v>1136</v>
      </c>
    </row>
    <row r="217" spans="1:4" ht="18" x14ac:dyDescent="0.2">
      <c r="A217" s="8" t="s">
        <v>1138</v>
      </c>
      <c r="B217" s="8" t="s">
        <v>1141</v>
      </c>
      <c r="C217" s="8" t="s">
        <v>1139</v>
      </c>
      <c r="D217" s="8" t="s">
        <v>1140</v>
      </c>
    </row>
    <row r="218" spans="1:4" ht="18" x14ac:dyDescent="0.2">
      <c r="A218" s="8" t="s">
        <v>1142</v>
      </c>
      <c r="B218" s="8" t="s">
        <v>1145</v>
      </c>
      <c r="C218" s="8" t="s">
        <v>1143</v>
      </c>
      <c r="D218" s="8" t="s">
        <v>1144</v>
      </c>
    </row>
    <row r="219" spans="1:4" ht="18" x14ac:dyDescent="0.2">
      <c r="A219" s="8" t="s">
        <v>1146</v>
      </c>
      <c r="B219" s="8" t="s">
        <v>1149</v>
      </c>
      <c r="C219" s="8" t="s">
        <v>1147</v>
      </c>
      <c r="D219" s="8" t="s">
        <v>1148</v>
      </c>
    </row>
    <row r="220" spans="1:4" ht="18" x14ac:dyDescent="0.2">
      <c r="A220" s="8" t="s">
        <v>1150</v>
      </c>
      <c r="B220" s="8" t="s">
        <v>1153</v>
      </c>
      <c r="C220" s="8" t="s">
        <v>1151</v>
      </c>
      <c r="D220" s="8" t="s">
        <v>1152</v>
      </c>
    </row>
    <row r="221" spans="1:4" ht="18" x14ac:dyDescent="0.2">
      <c r="A221" s="8" t="s">
        <v>1154</v>
      </c>
      <c r="B221" s="8" t="s">
        <v>1157</v>
      </c>
      <c r="C221" s="8" t="s">
        <v>1155</v>
      </c>
      <c r="D221" s="8" t="s">
        <v>1156</v>
      </c>
    </row>
    <row r="222" spans="1:4" ht="18" x14ac:dyDescent="0.2">
      <c r="A222" s="8" t="s">
        <v>1158</v>
      </c>
      <c r="B222" s="8" t="s">
        <v>1161</v>
      </c>
      <c r="C222" s="8" t="s">
        <v>1159</v>
      </c>
      <c r="D222" s="8" t="s">
        <v>1160</v>
      </c>
    </row>
    <row r="223" spans="1:4" ht="18" x14ac:dyDescent="0.2">
      <c r="A223" s="8" t="s">
        <v>1162</v>
      </c>
      <c r="B223" s="8" t="s">
        <v>1165</v>
      </c>
      <c r="C223" s="8" t="s">
        <v>1163</v>
      </c>
      <c r="D223" s="8" t="s">
        <v>1164</v>
      </c>
    </row>
    <row r="224" spans="1:4" ht="18" x14ac:dyDescent="0.2">
      <c r="A224" s="8" t="s">
        <v>1166</v>
      </c>
      <c r="B224" s="8" t="s">
        <v>1169</v>
      </c>
      <c r="C224" s="8" t="s">
        <v>1167</v>
      </c>
      <c r="D224" s="8" t="s">
        <v>1168</v>
      </c>
    </row>
    <row r="225" spans="1:4" ht="18" x14ac:dyDescent="0.2">
      <c r="A225" s="8" t="s">
        <v>1170</v>
      </c>
      <c r="B225" s="8" t="s">
        <v>1173</v>
      </c>
      <c r="C225" s="8" t="s">
        <v>1171</v>
      </c>
      <c r="D225" s="8" t="s">
        <v>1172</v>
      </c>
    </row>
    <row r="226" spans="1:4" ht="18" x14ac:dyDescent="0.2">
      <c r="A226" s="8" t="s">
        <v>1174</v>
      </c>
      <c r="B226" s="8" t="s">
        <v>1177</v>
      </c>
      <c r="C226" s="8" t="s">
        <v>1175</v>
      </c>
      <c r="D226" s="8" t="s">
        <v>1176</v>
      </c>
    </row>
    <row r="227" spans="1:4" ht="18" x14ac:dyDescent="0.2">
      <c r="A227" s="8" t="s">
        <v>1178</v>
      </c>
      <c r="B227" s="8" t="s">
        <v>1181</v>
      </c>
      <c r="C227" s="8" t="s">
        <v>1179</v>
      </c>
      <c r="D227" s="8" t="s">
        <v>1180</v>
      </c>
    </row>
    <row r="228" spans="1:4" ht="18" x14ac:dyDescent="0.2">
      <c r="A228" s="8" t="s">
        <v>1182</v>
      </c>
      <c r="B228" s="8" t="s">
        <v>1183</v>
      </c>
      <c r="C228" s="8"/>
      <c r="D228" s="8"/>
    </row>
    <row r="229" spans="1:4" ht="18" x14ac:dyDescent="0.2">
      <c r="A229" s="8" t="s">
        <v>1184</v>
      </c>
      <c r="B229" s="8" t="s">
        <v>1187</v>
      </c>
      <c r="C229" s="8" t="s">
        <v>1185</v>
      </c>
      <c r="D229" s="8" t="s">
        <v>1186</v>
      </c>
    </row>
    <row r="230" spans="1:4" ht="18" x14ac:dyDescent="0.2">
      <c r="A230" s="8" t="s">
        <v>1188</v>
      </c>
      <c r="B230" s="8" t="s">
        <v>1191</v>
      </c>
      <c r="C230" s="8" t="s">
        <v>1189</v>
      </c>
      <c r="D230" s="8" t="s">
        <v>1190</v>
      </c>
    </row>
    <row r="231" spans="1:4" ht="18" x14ac:dyDescent="0.2">
      <c r="A231" s="8" t="s">
        <v>1192</v>
      </c>
      <c r="B231" s="8" t="s">
        <v>1195</v>
      </c>
      <c r="C231" s="8" t="s">
        <v>1193</v>
      </c>
      <c r="D231" s="8" t="s">
        <v>1194</v>
      </c>
    </row>
    <row r="232" spans="1:4" ht="18" x14ac:dyDescent="0.2">
      <c r="A232" s="8" t="s">
        <v>1196</v>
      </c>
      <c r="B232" s="8" t="s">
        <v>1199</v>
      </c>
      <c r="C232" s="8" t="s">
        <v>1197</v>
      </c>
      <c r="D232" s="8" t="s">
        <v>1198</v>
      </c>
    </row>
    <row r="233" spans="1:4" ht="18" x14ac:dyDescent="0.2">
      <c r="A233" s="8" t="s">
        <v>1200</v>
      </c>
      <c r="B233" s="8" t="s">
        <v>1203</v>
      </c>
      <c r="C233" s="8" t="s">
        <v>1201</v>
      </c>
      <c r="D233" s="8" t="s">
        <v>1202</v>
      </c>
    </row>
    <row r="234" spans="1:4" ht="18" x14ac:dyDescent="0.2">
      <c r="A234" s="8" t="s">
        <v>1204</v>
      </c>
      <c r="B234" s="8" t="s">
        <v>1207</v>
      </c>
      <c r="C234" s="8" t="s">
        <v>1205</v>
      </c>
      <c r="D234" s="8" t="s">
        <v>1206</v>
      </c>
    </row>
    <row r="235" spans="1:4" ht="18" x14ac:dyDescent="0.2">
      <c r="A235" s="8" t="s">
        <v>1208</v>
      </c>
      <c r="B235" s="8" t="s">
        <v>1211</v>
      </c>
      <c r="C235" s="8" t="s">
        <v>1209</v>
      </c>
      <c r="D235" s="8" t="s">
        <v>1210</v>
      </c>
    </row>
    <row r="236" spans="1:4" ht="18" x14ac:dyDescent="0.2">
      <c r="A236" s="8" t="s">
        <v>1212</v>
      </c>
      <c r="B236" s="8" t="s">
        <v>1215</v>
      </c>
      <c r="C236" s="8" t="s">
        <v>1213</v>
      </c>
      <c r="D236" s="8" t="s">
        <v>1214</v>
      </c>
    </row>
    <row r="237" spans="1:4" ht="18" x14ac:dyDescent="0.2">
      <c r="A237" s="8" t="s">
        <v>1216</v>
      </c>
      <c r="B237" s="8" t="s">
        <v>1219</v>
      </c>
      <c r="C237" s="8" t="s">
        <v>1217</v>
      </c>
      <c r="D237" s="8" t="s">
        <v>1218</v>
      </c>
    </row>
    <row r="238" spans="1:4" ht="18" x14ac:dyDescent="0.2">
      <c r="A238" s="8" t="s">
        <v>1220</v>
      </c>
      <c r="B238" s="8" t="s">
        <v>1223</v>
      </c>
      <c r="C238" s="8" t="s">
        <v>1221</v>
      </c>
      <c r="D238" s="8" t="s">
        <v>1222</v>
      </c>
    </row>
    <row r="239" spans="1:4" ht="18" x14ac:dyDescent="0.2">
      <c r="A239" s="8" t="s">
        <v>1224</v>
      </c>
      <c r="B239" s="8" t="s">
        <v>1227</v>
      </c>
      <c r="C239" s="8" t="s">
        <v>1225</v>
      </c>
      <c r="D239" s="8" t="s">
        <v>1226</v>
      </c>
    </row>
    <row r="240" spans="1:4" ht="18" x14ac:dyDescent="0.2">
      <c r="A240" s="8" t="s">
        <v>1228</v>
      </c>
      <c r="B240" s="8" t="s">
        <v>1231</v>
      </c>
      <c r="C240" s="8" t="s">
        <v>1229</v>
      </c>
      <c r="D240" s="8" t="s">
        <v>1230</v>
      </c>
    </row>
    <row r="241" spans="1:4" ht="18" x14ac:dyDescent="0.2">
      <c r="A241" s="8" t="s">
        <v>1232</v>
      </c>
      <c r="B241" s="8" t="s">
        <v>1235</v>
      </c>
      <c r="C241" s="8" t="s">
        <v>1233</v>
      </c>
      <c r="D241" s="8" t="s">
        <v>1234</v>
      </c>
    </row>
    <row r="242" spans="1:4" ht="18" x14ac:dyDescent="0.2">
      <c r="A242" s="8" t="s">
        <v>1236</v>
      </c>
      <c r="B242" s="8" t="s">
        <v>1239</v>
      </c>
      <c r="C242" s="8" t="s">
        <v>1237</v>
      </c>
      <c r="D242" s="8" t="s">
        <v>1238</v>
      </c>
    </row>
    <row r="243" spans="1:4" ht="18" x14ac:dyDescent="0.2">
      <c r="A243" s="8" t="s">
        <v>1240</v>
      </c>
      <c r="B243" s="8" t="s">
        <v>1243</v>
      </c>
      <c r="C243" s="8" t="s">
        <v>1241</v>
      </c>
      <c r="D243" s="8" t="s">
        <v>1242</v>
      </c>
    </row>
    <row r="244" spans="1:4" ht="18" x14ac:dyDescent="0.2">
      <c r="A244" s="8" t="s">
        <v>1244</v>
      </c>
      <c r="B244" s="8" t="s">
        <v>22</v>
      </c>
      <c r="C244" s="8" t="s">
        <v>1245</v>
      </c>
      <c r="D244" s="8" t="s">
        <v>1246</v>
      </c>
    </row>
    <row r="245" spans="1:4" ht="18" x14ac:dyDescent="0.2">
      <c r="A245" s="8" t="s">
        <v>1247</v>
      </c>
      <c r="B245" s="8" t="s">
        <v>1250</v>
      </c>
      <c r="C245" s="8" t="s">
        <v>1248</v>
      </c>
      <c r="D245" s="8" t="s">
        <v>1249</v>
      </c>
    </row>
    <row r="246" spans="1:4" ht="18" x14ac:dyDescent="0.2">
      <c r="A246" s="8" t="s">
        <v>1251</v>
      </c>
      <c r="C246" s="8" t="s">
        <v>1252</v>
      </c>
      <c r="D246" s="8" t="s">
        <v>1253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25"/>
  <sheetViews>
    <sheetView workbookViewId="0">
      <selection activeCell="G25" sqref="G25"/>
    </sheetView>
  </sheetViews>
  <sheetFormatPr baseColWidth="10" defaultRowHeight="16" x14ac:dyDescent="0.2"/>
  <cols>
    <col min="2" max="4" width="10.83203125" style="2"/>
    <col min="5" max="5" width="22.1640625" bestFit="1" customWidth="1"/>
    <col min="6" max="6" width="18.5" bestFit="1" customWidth="1"/>
    <col min="14" max="14" width="13" bestFit="1" customWidth="1"/>
    <col min="15" max="15" width="101.33203125" bestFit="1" customWidth="1"/>
  </cols>
  <sheetData>
    <row r="1" spans="1:18" x14ac:dyDescent="0.2">
      <c r="B1" s="2" t="s">
        <v>27</v>
      </c>
      <c r="C1" s="2" t="s">
        <v>1254</v>
      </c>
      <c r="D1" s="2" t="s">
        <v>1255</v>
      </c>
      <c r="E1" t="s">
        <v>28</v>
      </c>
      <c r="F1" t="s">
        <v>1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38</v>
      </c>
      <c r="Q1" t="s">
        <v>39</v>
      </c>
      <c r="R1">
        <v>47</v>
      </c>
    </row>
    <row r="2" spans="1:18" x14ac:dyDescent="0.2">
      <c r="A2">
        <v>88</v>
      </c>
      <c r="B2" s="2">
        <v>42375</v>
      </c>
      <c r="C2" s="2" t="s">
        <v>353</v>
      </c>
      <c r="D2" s="2" t="s">
        <v>354</v>
      </c>
      <c r="E2" t="s">
        <v>3</v>
      </c>
      <c r="F2" t="s">
        <v>41</v>
      </c>
      <c r="G2" t="s">
        <v>42</v>
      </c>
      <c r="H2" t="s">
        <v>43</v>
      </c>
      <c r="I2" t="s">
        <v>44</v>
      </c>
      <c r="J2">
        <v>210</v>
      </c>
      <c r="K2">
        <v>159</v>
      </c>
      <c r="L2">
        <v>114</v>
      </c>
      <c r="M2">
        <v>2</v>
      </c>
      <c r="N2">
        <v>20160601</v>
      </c>
      <c r="O2" t="s">
        <v>270</v>
      </c>
      <c r="P2">
        <v>2016</v>
      </c>
      <c r="Q2" t="s">
        <v>45</v>
      </c>
    </row>
    <row r="3" spans="1:18" x14ac:dyDescent="0.2">
      <c r="A3">
        <v>219</v>
      </c>
      <c r="B3" s="2">
        <v>40919</v>
      </c>
      <c r="C3" s="2" t="s">
        <v>368</v>
      </c>
      <c r="D3" s="2" t="s">
        <v>369</v>
      </c>
      <c r="E3" t="s">
        <v>4</v>
      </c>
      <c r="F3" t="s">
        <v>46</v>
      </c>
      <c r="G3" t="s">
        <v>47</v>
      </c>
      <c r="H3" t="s">
        <v>48</v>
      </c>
      <c r="I3" t="s">
        <v>49</v>
      </c>
      <c r="J3">
        <v>243</v>
      </c>
      <c r="K3">
        <v>177</v>
      </c>
      <c r="L3">
        <v>141</v>
      </c>
      <c r="M3">
        <v>9</v>
      </c>
      <c r="N3">
        <v>20121101</v>
      </c>
      <c r="O3" t="s">
        <v>271</v>
      </c>
      <c r="P3">
        <v>2012</v>
      </c>
      <c r="Q3" t="s">
        <v>50</v>
      </c>
    </row>
    <row r="4" spans="1:18" x14ac:dyDescent="0.2">
      <c r="A4">
        <v>248</v>
      </c>
      <c r="B4" s="2">
        <v>37995</v>
      </c>
      <c r="C4" s="2" t="s">
        <v>411</v>
      </c>
      <c r="D4" s="2" t="s">
        <v>412</v>
      </c>
      <c r="E4" t="s">
        <v>5</v>
      </c>
      <c r="F4" t="s">
        <v>52</v>
      </c>
      <c r="G4" t="s">
        <v>53</v>
      </c>
      <c r="H4" t="s">
        <v>54</v>
      </c>
      <c r="I4" t="s">
        <v>55</v>
      </c>
      <c r="J4">
        <v>235</v>
      </c>
      <c r="K4">
        <v>205</v>
      </c>
      <c r="L4">
        <v>179</v>
      </c>
      <c r="M4">
        <v>3</v>
      </c>
      <c r="N4" t="s">
        <v>263</v>
      </c>
      <c r="O4" t="s">
        <v>272</v>
      </c>
      <c r="P4">
        <v>2004</v>
      </c>
      <c r="Q4" t="s">
        <v>56</v>
      </c>
    </row>
    <row r="5" spans="1:18" x14ac:dyDescent="0.2">
      <c r="A5">
        <v>220</v>
      </c>
      <c r="B5" s="2">
        <v>40179</v>
      </c>
      <c r="C5" s="2" t="s">
        <v>438</v>
      </c>
      <c r="D5" s="2" t="s">
        <v>439</v>
      </c>
      <c r="E5" t="s">
        <v>6</v>
      </c>
      <c r="F5" t="s">
        <v>58</v>
      </c>
      <c r="G5" t="s">
        <v>59</v>
      </c>
      <c r="H5" t="s">
        <v>60</v>
      </c>
      <c r="I5" t="s">
        <v>61</v>
      </c>
      <c r="J5">
        <v>214</v>
      </c>
      <c r="K5">
        <v>186</v>
      </c>
      <c r="L5">
        <v>170</v>
      </c>
      <c r="M5">
        <v>1</v>
      </c>
      <c r="N5">
        <v>20100101</v>
      </c>
      <c r="O5" t="s">
        <v>273</v>
      </c>
      <c r="P5">
        <v>2010</v>
      </c>
      <c r="Q5" t="s">
        <v>62</v>
      </c>
    </row>
    <row r="6" spans="1:18" x14ac:dyDescent="0.2">
      <c r="A6">
        <v>43</v>
      </c>
      <c r="B6" s="2">
        <v>42738</v>
      </c>
      <c r="C6" s="2" t="s">
        <v>477</v>
      </c>
      <c r="D6" s="2" t="s">
        <v>478</v>
      </c>
      <c r="E6" t="s">
        <v>7</v>
      </c>
      <c r="F6" t="s">
        <v>64</v>
      </c>
      <c r="G6" t="s">
        <v>65</v>
      </c>
      <c r="H6" t="s">
        <v>66</v>
      </c>
      <c r="I6" t="s">
        <v>67</v>
      </c>
      <c r="J6">
        <v>200</v>
      </c>
      <c r="K6">
        <v>121</v>
      </c>
      <c r="L6">
        <v>85</v>
      </c>
      <c r="M6">
        <v>0</v>
      </c>
      <c r="N6" t="s">
        <v>268</v>
      </c>
      <c r="O6" t="s">
        <v>274</v>
      </c>
      <c r="P6">
        <v>2017</v>
      </c>
      <c r="Q6" t="s">
        <v>68</v>
      </c>
    </row>
    <row r="7" spans="1:18" x14ac:dyDescent="0.2">
      <c r="A7">
        <v>103</v>
      </c>
      <c r="B7" s="2">
        <v>36893</v>
      </c>
      <c r="C7" s="2" t="s">
        <v>504</v>
      </c>
      <c r="D7" s="2" t="s">
        <v>505</v>
      </c>
      <c r="E7" t="s">
        <v>8</v>
      </c>
      <c r="F7" t="s">
        <v>69</v>
      </c>
      <c r="G7" t="s">
        <v>70</v>
      </c>
      <c r="H7" t="s">
        <v>71</v>
      </c>
      <c r="I7" t="s">
        <v>72</v>
      </c>
      <c r="J7">
        <v>199</v>
      </c>
      <c r="K7">
        <v>155</v>
      </c>
      <c r="L7">
        <v>131</v>
      </c>
      <c r="M7">
        <v>2</v>
      </c>
      <c r="N7">
        <v>20010201</v>
      </c>
      <c r="O7" t="s">
        <v>275</v>
      </c>
      <c r="P7">
        <v>2001</v>
      </c>
      <c r="Q7" t="s">
        <v>73</v>
      </c>
    </row>
    <row r="8" spans="1:18" x14ac:dyDescent="0.2">
      <c r="A8">
        <v>126</v>
      </c>
      <c r="B8" s="2">
        <v>36526</v>
      </c>
      <c r="C8" s="2" t="s">
        <v>535</v>
      </c>
      <c r="D8" s="2" t="s">
        <v>536</v>
      </c>
      <c r="E8" t="s">
        <v>9</v>
      </c>
      <c r="F8" t="s">
        <v>74</v>
      </c>
      <c r="G8" t="s">
        <v>75</v>
      </c>
      <c r="H8" t="s">
        <v>76</v>
      </c>
      <c r="I8" t="s">
        <v>77</v>
      </c>
      <c r="J8">
        <v>206</v>
      </c>
      <c r="K8">
        <v>154</v>
      </c>
      <c r="L8">
        <v>134</v>
      </c>
      <c r="M8">
        <v>2</v>
      </c>
      <c r="N8">
        <v>20000101</v>
      </c>
      <c r="O8" t="s">
        <v>276</v>
      </c>
      <c r="P8">
        <v>2000</v>
      </c>
      <c r="Q8" t="s">
        <v>78</v>
      </c>
    </row>
    <row r="9" spans="1:18" x14ac:dyDescent="0.2">
      <c r="A9">
        <v>38</v>
      </c>
      <c r="B9" s="2">
        <v>42736</v>
      </c>
      <c r="C9" s="2" t="s">
        <v>553</v>
      </c>
      <c r="D9" s="2" t="s">
        <v>554</v>
      </c>
      <c r="E9" t="s">
        <v>10</v>
      </c>
      <c r="F9" t="s">
        <v>80</v>
      </c>
      <c r="G9" t="s">
        <v>81</v>
      </c>
      <c r="H9" t="s">
        <v>82</v>
      </c>
      <c r="I9" t="s">
        <v>83</v>
      </c>
      <c r="J9">
        <v>184</v>
      </c>
      <c r="K9">
        <v>129</v>
      </c>
      <c r="L9">
        <v>98</v>
      </c>
      <c r="M9">
        <v>5</v>
      </c>
      <c r="N9">
        <v>20170101</v>
      </c>
      <c r="O9" t="s">
        <v>277</v>
      </c>
      <c r="P9">
        <v>2017</v>
      </c>
      <c r="Q9" t="s">
        <v>84</v>
      </c>
    </row>
    <row r="10" spans="1:18" x14ac:dyDescent="0.2">
      <c r="A10">
        <v>156</v>
      </c>
      <c r="B10" s="2">
        <v>40916</v>
      </c>
      <c r="C10" s="2" t="s">
        <v>576</v>
      </c>
      <c r="D10" s="2" t="s">
        <v>577</v>
      </c>
      <c r="E10" t="s">
        <v>11</v>
      </c>
      <c r="F10" t="s">
        <v>86</v>
      </c>
      <c r="G10" t="s">
        <v>87</v>
      </c>
      <c r="H10" t="s">
        <v>88</v>
      </c>
      <c r="I10" t="s">
        <v>89</v>
      </c>
      <c r="J10">
        <v>205</v>
      </c>
      <c r="K10">
        <v>172</v>
      </c>
      <c r="L10">
        <v>145</v>
      </c>
      <c r="M10">
        <v>8</v>
      </c>
      <c r="N10">
        <v>20120801</v>
      </c>
      <c r="O10" t="s">
        <v>278</v>
      </c>
      <c r="P10">
        <v>2012</v>
      </c>
      <c r="Q10" t="s">
        <v>90</v>
      </c>
    </row>
    <row r="11" spans="1:18" x14ac:dyDescent="0.2">
      <c r="A11">
        <v>136</v>
      </c>
      <c r="B11" s="2">
        <v>41648</v>
      </c>
      <c r="C11" s="2" t="s">
        <v>678</v>
      </c>
      <c r="D11" s="2" t="s">
        <v>679</v>
      </c>
      <c r="E11" t="s">
        <v>12</v>
      </c>
      <c r="F11" t="s">
        <v>91</v>
      </c>
      <c r="G11" t="s">
        <v>92</v>
      </c>
      <c r="H11" t="s">
        <v>93</v>
      </c>
      <c r="I11" t="s">
        <v>94</v>
      </c>
      <c r="J11">
        <v>219</v>
      </c>
      <c r="K11">
        <v>153</v>
      </c>
      <c r="L11">
        <v>124</v>
      </c>
      <c r="M11">
        <v>2</v>
      </c>
      <c r="N11" t="s">
        <v>267</v>
      </c>
      <c r="O11" t="s">
        <v>279</v>
      </c>
      <c r="P11">
        <v>2014</v>
      </c>
      <c r="Q11" t="s">
        <v>95</v>
      </c>
    </row>
    <row r="12" spans="1:18" x14ac:dyDescent="0.2">
      <c r="A12">
        <v>194</v>
      </c>
      <c r="B12" s="2">
        <v>38720</v>
      </c>
      <c r="C12" s="2" t="s">
        <v>689</v>
      </c>
      <c r="D12" s="2" t="s">
        <v>690</v>
      </c>
      <c r="E12" t="s">
        <v>13</v>
      </c>
      <c r="F12" t="s">
        <v>102</v>
      </c>
      <c r="G12" t="s">
        <v>103</v>
      </c>
      <c r="H12" t="s">
        <v>104</v>
      </c>
      <c r="I12" t="s">
        <v>105</v>
      </c>
      <c r="J12">
        <v>214</v>
      </c>
      <c r="K12">
        <v>179</v>
      </c>
      <c r="L12">
        <v>155</v>
      </c>
      <c r="M12">
        <v>1</v>
      </c>
      <c r="N12">
        <v>20060301</v>
      </c>
      <c r="O12" t="s">
        <v>280</v>
      </c>
      <c r="P12">
        <v>2006</v>
      </c>
      <c r="Q12" t="s">
        <v>106</v>
      </c>
    </row>
    <row r="13" spans="1:18" x14ac:dyDescent="0.2">
      <c r="A13">
        <v>74</v>
      </c>
      <c r="B13" s="2">
        <v>42738</v>
      </c>
      <c r="C13" s="2" t="s">
        <v>716</v>
      </c>
      <c r="D13" s="2" t="s">
        <v>717</v>
      </c>
      <c r="E13" t="s">
        <v>14</v>
      </c>
      <c r="F13" t="s">
        <v>97</v>
      </c>
      <c r="G13" t="s">
        <v>98</v>
      </c>
      <c r="H13" t="s">
        <v>99</v>
      </c>
      <c r="I13" t="s">
        <v>100</v>
      </c>
      <c r="J13">
        <v>219</v>
      </c>
      <c r="K13">
        <v>136</v>
      </c>
      <c r="L13">
        <v>97</v>
      </c>
      <c r="M13">
        <v>6</v>
      </c>
      <c r="N13" t="s">
        <v>269</v>
      </c>
      <c r="O13" t="s">
        <v>281</v>
      </c>
      <c r="P13">
        <v>2017</v>
      </c>
      <c r="Q13" t="s">
        <v>101</v>
      </c>
    </row>
    <row r="14" spans="1:18" x14ac:dyDescent="0.2">
      <c r="A14">
        <v>189</v>
      </c>
      <c r="B14" s="2">
        <v>43105</v>
      </c>
      <c r="C14" s="2" t="s">
        <v>783</v>
      </c>
      <c r="D14" s="2" t="s">
        <v>784</v>
      </c>
      <c r="E14" t="s">
        <v>15</v>
      </c>
      <c r="F14" t="s">
        <v>107</v>
      </c>
      <c r="G14" t="s">
        <v>108</v>
      </c>
      <c r="H14" t="s">
        <v>109</v>
      </c>
      <c r="I14" t="s">
        <v>110</v>
      </c>
      <c r="J14">
        <v>219</v>
      </c>
      <c r="K14">
        <v>175</v>
      </c>
      <c r="L14">
        <v>149</v>
      </c>
      <c r="M14">
        <v>1</v>
      </c>
      <c r="N14">
        <v>20180501</v>
      </c>
      <c r="O14" t="s">
        <v>282</v>
      </c>
      <c r="P14">
        <v>2018</v>
      </c>
      <c r="Q14" t="s">
        <v>111</v>
      </c>
    </row>
    <row r="15" spans="1:18" x14ac:dyDescent="0.2">
      <c r="A15">
        <v>52</v>
      </c>
      <c r="B15" s="2">
        <v>38358</v>
      </c>
      <c r="C15" s="2" t="s">
        <v>898</v>
      </c>
      <c r="D15" s="2" t="s">
        <v>899</v>
      </c>
      <c r="E15" t="s">
        <v>16</v>
      </c>
      <c r="F15" t="s">
        <v>113</v>
      </c>
      <c r="G15" t="s">
        <v>114</v>
      </c>
      <c r="H15" t="s">
        <v>115</v>
      </c>
      <c r="I15" t="s">
        <v>116</v>
      </c>
      <c r="J15">
        <v>187</v>
      </c>
      <c r="K15">
        <v>138</v>
      </c>
      <c r="L15">
        <v>111</v>
      </c>
      <c r="M15">
        <v>5</v>
      </c>
      <c r="N15">
        <v>20050601</v>
      </c>
      <c r="O15" t="s">
        <v>283</v>
      </c>
      <c r="P15">
        <v>2005</v>
      </c>
      <c r="Q15" t="s">
        <v>117</v>
      </c>
    </row>
    <row r="16" spans="1:18" x14ac:dyDescent="0.2">
      <c r="A16">
        <v>19</v>
      </c>
      <c r="B16" s="2">
        <v>41648</v>
      </c>
      <c r="C16" s="2" t="s">
        <v>933</v>
      </c>
      <c r="D16" s="2" t="s">
        <v>934</v>
      </c>
      <c r="E16" t="s">
        <v>17</v>
      </c>
      <c r="F16" t="s">
        <v>119</v>
      </c>
      <c r="G16" t="s">
        <v>120</v>
      </c>
      <c r="H16" t="s">
        <v>121</v>
      </c>
      <c r="I16" t="s">
        <v>122</v>
      </c>
      <c r="J16">
        <v>177</v>
      </c>
      <c r="K16">
        <v>105</v>
      </c>
      <c r="L16">
        <v>79</v>
      </c>
      <c r="M16">
        <v>0</v>
      </c>
      <c r="N16" t="s">
        <v>266</v>
      </c>
      <c r="O16" t="s">
        <v>284</v>
      </c>
      <c r="P16">
        <v>2014</v>
      </c>
      <c r="Q16" t="s">
        <v>123</v>
      </c>
    </row>
    <row r="17" spans="1:17" x14ac:dyDescent="0.2">
      <c r="A17">
        <v>255</v>
      </c>
      <c r="B17" s="2">
        <v>37995</v>
      </c>
      <c r="C17" s="2" t="s">
        <v>984</v>
      </c>
      <c r="D17" s="2" t="s">
        <v>985</v>
      </c>
      <c r="E17" t="s">
        <v>18</v>
      </c>
      <c r="F17" t="s">
        <v>125</v>
      </c>
      <c r="G17" t="s">
        <v>126</v>
      </c>
      <c r="H17" t="s">
        <v>127</v>
      </c>
      <c r="I17" t="s">
        <v>128</v>
      </c>
      <c r="J17">
        <v>236</v>
      </c>
      <c r="K17">
        <v>209</v>
      </c>
      <c r="L17">
        <v>189</v>
      </c>
      <c r="M17">
        <v>3</v>
      </c>
      <c r="N17" t="s">
        <v>262</v>
      </c>
      <c r="O17" t="s">
        <v>285</v>
      </c>
      <c r="P17">
        <v>2004</v>
      </c>
      <c r="Q17" t="s">
        <v>129</v>
      </c>
    </row>
    <row r="18" spans="1:17" x14ac:dyDescent="0.2">
      <c r="A18">
        <v>105</v>
      </c>
      <c r="B18" s="2">
        <v>41648</v>
      </c>
      <c r="C18" s="2" t="s">
        <v>1022</v>
      </c>
      <c r="D18" s="2" t="s">
        <v>1023</v>
      </c>
      <c r="E18" t="s">
        <v>19</v>
      </c>
      <c r="F18" t="s">
        <v>132</v>
      </c>
      <c r="G18" t="s">
        <v>133</v>
      </c>
      <c r="H18" t="s">
        <v>134</v>
      </c>
      <c r="I18" t="s">
        <v>135</v>
      </c>
      <c r="J18">
        <v>212</v>
      </c>
      <c r="K18">
        <v>148</v>
      </c>
      <c r="L18">
        <v>118</v>
      </c>
      <c r="M18">
        <v>2</v>
      </c>
      <c r="N18" t="s">
        <v>265</v>
      </c>
      <c r="O18" t="s">
        <v>286</v>
      </c>
      <c r="P18">
        <v>2014</v>
      </c>
      <c r="Q18" t="s">
        <v>136</v>
      </c>
    </row>
    <row r="19" spans="1:17" x14ac:dyDescent="0.2">
      <c r="A19">
        <v>257</v>
      </c>
      <c r="B19" s="2">
        <v>37995</v>
      </c>
      <c r="C19" s="2" t="s">
        <v>1029</v>
      </c>
      <c r="D19" s="2" t="s">
        <v>1030</v>
      </c>
      <c r="E19" t="s">
        <v>20</v>
      </c>
      <c r="F19" t="s">
        <v>148</v>
      </c>
      <c r="G19" t="s">
        <v>149</v>
      </c>
      <c r="H19" t="s">
        <v>150</v>
      </c>
      <c r="I19" t="s">
        <v>151</v>
      </c>
      <c r="J19">
        <v>240</v>
      </c>
      <c r="K19">
        <v>214</v>
      </c>
      <c r="L19">
        <v>196</v>
      </c>
      <c r="M19">
        <v>3</v>
      </c>
      <c r="N19" t="s">
        <v>264</v>
      </c>
      <c r="O19" t="s">
        <v>287</v>
      </c>
      <c r="P19">
        <v>2004</v>
      </c>
      <c r="Q19" t="s">
        <v>152</v>
      </c>
    </row>
    <row r="20" spans="1:17" x14ac:dyDescent="0.2">
      <c r="A20">
        <v>217</v>
      </c>
      <c r="B20" s="2">
        <v>38354</v>
      </c>
      <c r="C20" s="2" t="s">
        <v>1064</v>
      </c>
      <c r="D20" s="2" t="s">
        <v>1065</v>
      </c>
      <c r="E20" t="s">
        <v>21</v>
      </c>
      <c r="F20" t="s">
        <v>138</v>
      </c>
      <c r="G20" t="s">
        <v>139</v>
      </c>
      <c r="H20" t="s">
        <v>140</v>
      </c>
      <c r="I20" t="s">
        <v>141</v>
      </c>
      <c r="J20">
        <v>219</v>
      </c>
      <c r="K20">
        <v>188</v>
      </c>
      <c r="L20">
        <v>162</v>
      </c>
      <c r="M20">
        <v>1</v>
      </c>
      <c r="N20">
        <v>20050201</v>
      </c>
      <c r="O20" t="s">
        <v>288</v>
      </c>
      <c r="P20">
        <v>2005</v>
      </c>
      <c r="Q20" t="s">
        <v>142</v>
      </c>
    </row>
    <row r="21" spans="1:17" x14ac:dyDescent="0.2">
      <c r="A21">
        <v>225</v>
      </c>
      <c r="B21" s="2">
        <v>40555</v>
      </c>
      <c r="C21" s="2" t="s">
        <v>1245</v>
      </c>
      <c r="D21" s="2" t="s">
        <v>1246</v>
      </c>
      <c r="E21" t="s">
        <v>22</v>
      </c>
      <c r="F21" t="s">
        <v>143</v>
      </c>
      <c r="G21" t="s">
        <v>144</v>
      </c>
      <c r="H21" t="s">
        <v>145</v>
      </c>
      <c r="I21" t="s">
        <v>146</v>
      </c>
      <c r="J21">
        <v>221</v>
      </c>
      <c r="K21">
        <v>190</v>
      </c>
      <c r="L21">
        <v>165</v>
      </c>
      <c r="M21">
        <v>1</v>
      </c>
      <c r="N21">
        <v>20111201</v>
      </c>
      <c r="O21" t="s">
        <v>289</v>
      </c>
      <c r="P21">
        <v>2011</v>
      </c>
      <c r="Q21" t="s">
        <v>147</v>
      </c>
    </row>
    <row r="22" spans="1:17" x14ac:dyDescent="0.2">
      <c r="A22">
        <v>200</v>
      </c>
      <c r="B22" s="2">
        <v>42371</v>
      </c>
      <c r="C22" s="2" t="s">
        <v>550</v>
      </c>
      <c r="D22" s="2" t="s">
        <v>551</v>
      </c>
      <c r="E22" t="s">
        <v>23</v>
      </c>
      <c r="F22" t="s">
        <v>153</v>
      </c>
      <c r="G22" t="s">
        <v>154</v>
      </c>
      <c r="H22" t="s">
        <v>155</v>
      </c>
      <c r="I22" t="s">
        <v>156</v>
      </c>
      <c r="J22">
        <v>227</v>
      </c>
      <c r="K22">
        <v>175</v>
      </c>
      <c r="L22">
        <v>144</v>
      </c>
      <c r="M22">
        <v>9</v>
      </c>
      <c r="N22">
        <v>20160201</v>
      </c>
      <c r="O22" t="s">
        <v>290</v>
      </c>
      <c r="P22">
        <v>2016</v>
      </c>
      <c r="Q22" t="s">
        <v>157</v>
      </c>
    </row>
    <row r="23" spans="1:17" x14ac:dyDescent="0.2">
      <c r="A23">
        <v>226</v>
      </c>
      <c r="B23" s="2">
        <v>43103</v>
      </c>
      <c r="C23" s="2" t="s">
        <v>1053</v>
      </c>
      <c r="D23" s="2" t="s">
        <v>1054</v>
      </c>
      <c r="E23" t="s">
        <v>24</v>
      </c>
      <c r="F23" t="s">
        <v>158</v>
      </c>
      <c r="G23" t="s">
        <v>159</v>
      </c>
      <c r="H23" t="s">
        <v>160</v>
      </c>
      <c r="I23" t="s">
        <v>161</v>
      </c>
      <c r="J23">
        <v>234</v>
      </c>
      <c r="K23">
        <v>187</v>
      </c>
      <c r="L23">
        <v>154</v>
      </c>
      <c r="M23">
        <v>1</v>
      </c>
      <c r="N23">
        <v>20180301</v>
      </c>
      <c r="O23" t="s">
        <v>291</v>
      </c>
      <c r="P23">
        <v>2018</v>
      </c>
      <c r="Q23" t="s">
        <v>162</v>
      </c>
    </row>
    <row r="24" spans="1:17" x14ac:dyDescent="0.2">
      <c r="A24">
        <v>134</v>
      </c>
      <c r="B24" s="2">
        <v>39457</v>
      </c>
      <c r="C24" s="2" t="s">
        <v>583</v>
      </c>
      <c r="D24" s="2" t="s">
        <v>584</v>
      </c>
      <c r="E24" t="s">
        <v>25</v>
      </c>
      <c r="F24" t="s">
        <v>175</v>
      </c>
      <c r="G24" t="s">
        <v>176</v>
      </c>
      <c r="H24" t="s">
        <v>177</v>
      </c>
      <c r="I24" t="s">
        <v>178</v>
      </c>
      <c r="J24">
        <v>200</v>
      </c>
      <c r="K24">
        <v>163</v>
      </c>
      <c r="L24">
        <v>143</v>
      </c>
      <c r="M24">
        <v>8</v>
      </c>
      <c r="N24">
        <v>20081001</v>
      </c>
      <c r="O24" t="s">
        <v>292</v>
      </c>
      <c r="P24">
        <v>2008</v>
      </c>
      <c r="Q24" t="s">
        <v>179</v>
      </c>
    </row>
    <row r="25" spans="1:17" x14ac:dyDescent="0.2">
      <c r="A25">
        <v>60</v>
      </c>
      <c r="B25" s="2">
        <v>42742</v>
      </c>
      <c r="C25" s="2" t="s">
        <v>1185</v>
      </c>
      <c r="D25" s="2" t="s">
        <v>1186</v>
      </c>
      <c r="E25" t="s">
        <v>26</v>
      </c>
      <c r="F25" t="s">
        <v>254</v>
      </c>
      <c r="G25" t="s">
        <v>255</v>
      </c>
      <c r="H25" t="s">
        <v>256</v>
      </c>
      <c r="I25" t="s">
        <v>257</v>
      </c>
      <c r="J25">
        <v>198</v>
      </c>
      <c r="K25">
        <v>135</v>
      </c>
      <c r="L25">
        <v>106</v>
      </c>
      <c r="M25">
        <v>6</v>
      </c>
      <c r="N25">
        <v>20170701</v>
      </c>
      <c r="O25" t="s">
        <v>293</v>
      </c>
      <c r="P25">
        <v>2017</v>
      </c>
      <c r="Q25" t="s">
        <v>258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C46E3-9307-A64D-AAF5-FD9054B41043}">
  <sheetPr codeName="Sheet7">
    <tabColor theme="7" tint="0.59999389629810485"/>
  </sheetPr>
  <dimension ref="A1:I25"/>
  <sheetViews>
    <sheetView tabSelected="1" workbookViewId="0">
      <selection activeCell="I25" sqref="I8:I25"/>
    </sheetView>
  </sheetViews>
  <sheetFormatPr baseColWidth="10" defaultRowHeight="16" x14ac:dyDescent="0.2"/>
  <cols>
    <col min="8" max="8" width="16.33203125" bestFit="1" customWidth="1"/>
  </cols>
  <sheetData>
    <row r="1" spans="1:9" x14ac:dyDescent="0.2">
      <c r="A1" t="s">
        <v>1256</v>
      </c>
      <c r="B1" t="s">
        <v>1278</v>
      </c>
      <c r="C1" t="s">
        <v>1254</v>
      </c>
      <c r="D1" t="s">
        <v>1255</v>
      </c>
      <c r="E1" t="s">
        <v>1279</v>
      </c>
      <c r="F1" t="s">
        <v>2</v>
      </c>
      <c r="G1" t="s">
        <v>1257</v>
      </c>
      <c r="H1" t="s">
        <v>1</v>
      </c>
      <c r="I1" t="s">
        <v>1277</v>
      </c>
    </row>
    <row r="2" spans="1:9" x14ac:dyDescent="0.2">
      <c r="A2" s="9" t="s">
        <v>3</v>
      </c>
      <c r="B2" s="9" t="s">
        <v>3</v>
      </c>
      <c r="C2" t="s">
        <v>353</v>
      </c>
      <c r="D2" t="s">
        <v>354</v>
      </c>
      <c r="E2">
        <v>2</v>
      </c>
      <c r="F2" s="1">
        <v>1.6E-2</v>
      </c>
      <c r="G2" s="10" t="s">
        <v>1258</v>
      </c>
      <c r="H2" t="s">
        <v>41</v>
      </c>
      <c r="I2" t="s">
        <v>270</v>
      </c>
    </row>
    <row r="3" spans="1:9" x14ac:dyDescent="0.2">
      <c r="A3" s="9" t="s">
        <v>4</v>
      </c>
      <c r="B3" s="9" t="s">
        <v>4</v>
      </c>
      <c r="C3" t="s">
        <v>368</v>
      </c>
      <c r="D3" t="s">
        <v>369</v>
      </c>
      <c r="E3">
        <v>1</v>
      </c>
      <c r="F3" s="1">
        <v>8.0000000000000002E-3</v>
      </c>
      <c r="G3" s="10" t="s">
        <v>1259</v>
      </c>
      <c r="H3" t="s">
        <v>46</v>
      </c>
      <c r="I3" t="s">
        <v>271</v>
      </c>
    </row>
    <row r="4" spans="1:9" x14ac:dyDescent="0.2">
      <c r="A4" s="9" t="s">
        <v>5</v>
      </c>
      <c r="B4" s="9" t="s">
        <v>5</v>
      </c>
      <c r="C4" t="s">
        <v>411</v>
      </c>
      <c r="D4" t="s">
        <v>412</v>
      </c>
      <c r="E4">
        <v>2</v>
      </c>
      <c r="F4" s="1">
        <v>1.6E-2</v>
      </c>
      <c r="G4" s="10" t="s">
        <v>1260</v>
      </c>
      <c r="H4" t="s">
        <v>52</v>
      </c>
      <c r="I4" t="s">
        <v>272</v>
      </c>
    </row>
    <row r="5" spans="1:9" x14ac:dyDescent="0.2">
      <c r="A5" s="9" t="s">
        <v>6</v>
      </c>
      <c r="B5" s="9" t="s">
        <v>6</v>
      </c>
      <c r="C5" t="s">
        <v>438</v>
      </c>
      <c r="D5" t="s">
        <v>439</v>
      </c>
      <c r="E5">
        <v>2</v>
      </c>
      <c r="F5" s="1">
        <v>1.6E-2</v>
      </c>
      <c r="G5" s="10" t="s">
        <v>1261</v>
      </c>
      <c r="H5" t="s">
        <v>58</v>
      </c>
      <c r="I5" t="s">
        <v>273</v>
      </c>
    </row>
    <row r="6" spans="1:9" x14ac:dyDescent="0.2">
      <c r="A6" s="9" t="s">
        <v>7</v>
      </c>
      <c r="B6" s="9" t="s">
        <v>7</v>
      </c>
      <c r="C6" t="s">
        <v>477</v>
      </c>
      <c r="D6" t="s">
        <v>478</v>
      </c>
      <c r="E6">
        <v>2</v>
      </c>
      <c r="F6" s="1">
        <v>1.6E-2</v>
      </c>
      <c r="G6" s="10" t="s">
        <v>1262</v>
      </c>
      <c r="H6" t="s">
        <v>64</v>
      </c>
      <c r="I6" t="s">
        <v>274</v>
      </c>
    </row>
    <row r="7" spans="1:9" x14ac:dyDescent="0.2">
      <c r="A7" s="9" t="s">
        <v>8</v>
      </c>
      <c r="B7" s="9" t="s">
        <v>8</v>
      </c>
      <c r="C7" t="s">
        <v>504</v>
      </c>
      <c r="D7" t="s">
        <v>505</v>
      </c>
      <c r="E7">
        <v>1</v>
      </c>
      <c r="F7" s="1">
        <v>8.0000000000000002E-3</v>
      </c>
      <c r="G7" s="10" t="s">
        <v>70</v>
      </c>
      <c r="H7" t="s">
        <v>69</v>
      </c>
      <c r="I7" t="s">
        <v>275</v>
      </c>
    </row>
    <row r="8" spans="1:9" x14ac:dyDescent="0.2">
      <c r="A8" s="9" t="s">
        <v>9</v>
      </c>
      <c r="B8" s="9" t="s">
        <v>9</v>
      </c>
      <c r="C8" t="s">
        <v>535</v>
      </c>
      <c r="D8" t="s">
        <v>536</v>
      </c>
      <c r="E8">
        <v>1</v>
      </c>
      <c r="F8" s="1">
        <v>8.0000000000000002E-3</v>
      </c>
      <c r="G8" s="10" t="s">
        <v>1263</v>
      </c>
      <c r="H8" t="s">
        <v>74</v>
      </c>
      <c r="I8" t="s">
        <v>276</v>
      </c>
    </row>
    <row r="9" spans="1:9" x14ac:dyDescent="0.2">
      <c r="A9" s="9" t="s">
        <v>10</v>
      </c>
      <c r="B9" s="9" t="s">
        <v>10</v>
      </c>
      <c r="C9" t="s">
        <v>553</v>
      </c>
      <c r="D9" t="s">
        <v>554</v>
      </c>
      <c r="E9">
        <v>2</v>
      </c>
      <c r="F9" s="1">
        <v>1.6E-2</v>
      </c>
      <c r="G9" s="10" t="s">
        <v>1264</v>
      </c>
      <c r="H9" t="s">
        <v>80</v>
      </c>
      <c r="I9" t="s">
        <v>277</v>
      </c>
    </row>
    <row r="10" spans="1:9" x14ac:dyDescent="0.2">
      <c r="A10" s="9" t="s">
        <v>11</v>
      </c>
      <c r="B10" s="9" t="s">
        <v>11</v>
      </c>
      <c r="C10" t="s">
        <v>576</v>
      </c>
      <c r="D10" t="s">
        <v>577</v>
      </c>
      <c r="E10">
        <v>2</v>
      </c>
      <c r="F10" s="1">
        <v>1.6E-2</v>
      </c>
      <c r="G10" s="10" t="s">
        <v>1265</v>
      </c>
      <c r="H10" t="s">
        <v>86</v>
      </c>
      <c r="I10" t="s">
        <v>278</v>
      </c>
    </row>
    <row r="11" spans="1:9" x14ac:dyDescent="0.2">
      <c r="A11" s="9" t="s">
        <v>12</v>
      </c>
      <c r="B11" s="9" t="s">
        <v>12</v>
      </c>
      <c r="C11" t="s">
        <v>678</v>
      </c>
      <c r="D11" t="s">
        <v>679</v>
      </c>
      <c r="E11">
        <v>1</v>
      </c>
      <c r="F11" s="1">
        <v>8.0000000000000002E-3</v>
      </c>
      <c r="G11" s="10" t="s">
        <v>92</v>
      </c>
      <c r="H11" t="s">
        <v>91</v>
      </c>
      <c r="I11" t="s">
        <v>279</v>
      </c>
    </row>
    <row r="12" spans="1:9" x14ac:dyDescent="0.2">
      <c r="A12" s="9" t="s">
        <v>13</v>
      </c>
      <c r="B12" s="9" t="s">
        <v>13</v>
      </c>
      <c r="C12" t="s">
        <v>689</v>
      </c>
      <c r="D12" t="s">
        <v>690</v>
      </c>
      <c r="E12">
        <v>1</v>
      </c>
      <c r="F12" s="1">
        <v>8.0000000000000002E-3</v>
      </c>
      <c r="G12" s="10" t="s">
        <v>1266</v>
      </c>
      <c r="H12" t="s">
        <v>102</v>
      </c>
      <c r="I12" t="s">
        <v>280</v>
      </c>
    </row>
    <row r="13" spans="1:9" x14ac:dyDescent="0.2">
      <c r="A13" s="9" t="s">
        <v>14</v>
      </c>
      <c r="B13" s="9" t="s">
        <v>14</v>
      </c>
      <c r="C13" t="s">
        <v>716</v>
      </c>
      <c r="D13" t="s">
        <v>717</v>
      </c>
      <c r="E13">
        <v>2</v>
      </c>
      <c r="F13" s="1">
        <v>1.6E-2</v>
      </c>
      <c r="G13" s="10" t="s">
        <v>1267</v>
      </c>
      <c r="H13" t="s">
        <v>97</v>
      </c>
      <c r="I13" t="s">
        <v>281</v>
      </c>
    </row>
    <row r="14" spans="1:9" x14ac:dyDescent="0.2">
      <c r="A14" s="9" t="s">
        <v>15</v>
      </c>
      <c r="B14" s="9" t="s">
        <v>15</v>
      </c>
      <c r="C14" t="s">
        <v>783</v>
      </c>
      <c r="D14" t="s">
        <v>784</v>
      </c>
      <c r="E14">
        <v>1</v>
      </c>
      <c r="F14" s="1">
        <v>8.0000000000000002E-3</v>
      </c>
      <c r="G14" s="10" t="s">
        <v>108</v>
      </c>
      <c r="H14" t="s">
        <v>107</v>
      </c>
      <c r="I14" t="s">
        <v>282</v>
      </c>
    </row>
    <row r="15" spans="1:9" x14ac:dyDescent="0.2">
      <c r="A15" s="9" t="s">
        <v>16</v>
      </c>
      <c r="B15" s="9" t="s">
        <v>16</v>
      </c>
      <c r="C15" t="s">
        <v>898</v>
      </c>
      <c r="D15" t="s">
        <v>899</v>
      </c>
      <c r="E15">
        <v>2</v>
      </c>
      <c r="F15" s="1">
        <v>1.6E-2</v>
      </c>
      <c r="G15" s="10" t="s">
        <v>1268</v>
      </c>
      <c r="H15" t="s">
        <v>113</v>
      </c>
      <c r="I15" t="s">
        <v>283</v>
      </c>
    </row>
    <row r="16" spans="1:9" x14ac:dyDescent="0.2">
      <c r="A16" s="9" t="s">
        <v>17</v>
      </c>
      <c r="B16" s="9" t="s">
        <v>17</v>
      </c>
      <c r="C16" t="s">
        <v>933</v>
      </c>
      <c r="D16" t="s">
        <v>934</v>
      </c>
      <c r="E16">
        <v>2</v>
      </c>
      <c r="F16" s="1">
        <v>1.6E-2</v>
      </c>
      <c r="G16" s="10" t="s">
        <v>1269</v>
      </c>
      <c r="H16" t="s">
        <v>119</v>
      </c>
      <c r="I16" t="s">
        <v>284</v>
      </c>
    </row>
    <row r="17" spans="1:9" x14ac:dyDescent="0.2">
      <c r="A17" s="9" t="s">
        <v>18</v>
      </c>
      <c r="B17" s="9" t="s">
        <v>18</v>
      </c>
      <c r="C17" t="s">
        <v>984</v>
      </c>
      <c r="D17" t="s">
        <v>985</v>
      </c>
      <c r="E17">
        <v>2</v>
      </c>
      <c r="F17" s="1">
        <v>1.6E-2</v>
      </c>
      <c r="G17" s="10" t="s">
        <v>1270</v>
      </c>
      <c r="H17" t="s">
        <v>125</v>
      </c>
      <c r="I17" t="s">
        <v>285</v>
      </c>
    </row>
    <row r="18" spans="1:9" x14ac:dyDescent="0.2">
      <c r="A18" s="9" t="s">
        <v>19</v>
      </c>
      <c r="B18" s="9" t="s">
        <v>19</v>
      </c>
      <c r="C18" t="s">
        <v>1022</v>
      </c>
      <c r="D18" t="s">
        <v>1023</v>
      </c>
      <c r="E18">
        <v>1</v>
      </c>
      <c r="F18" s="1">
        <v>8.0000000000000002E-3</v>
      </c>
      <c r="G18" s="10" t="s">
        <v>133</v>
      </c>
      <c r="H18" t="s">
        <v>132</v>
      </c>
      <c r="I18" t="s">
        <v>286</v>
      </c>
    </row>
    <row r="19" spans="1:9" x14ac:dyDescent="0.2">
      <c r="A19" s="9" t="s">
        <v>20</v>
      </c>
      <c r="B19" s="9" t="s">
        <v>1031</v>
      </c>
      <c r="C19" t="s">
        <v>1029</v>
      </c>
      <c r="D19" t="s">
        <v>1030</v>
      </c>
      <c r="E19">
        <v>2</v>
      </c>
      <c r="F19" s="1">
        <v>1.6E-2</v>
      </c>
      <c r="G19" s="10" t="s">
        <v>1271</v>
      </c>
      <c r="H19" t="s">
        <v>148</v>
      </c>
      <c r="I19" t="s">
        <v>287</v>
      </c>
    </row>
    <row r="20" spans="1:9" x14ac:dyDescent="0.2">
      <c r="A20" s="9" t="s">
        <v>21</v>
      </c>
      <c r="B20" s="9" t="s">
        <v>21</v>
      </c>
      <c r="C20" t="s">
        <v>1064</v>
      </c>
      <c r="D20" t="s">
        <v>1065</v>
      </c>
      <c r="E20">
        <v>1</v>
      </c>
      <c r="F20" s="1">
        <v>8.0000000000000002E-3</v>
      </c>
      <c r="G20" s="10" t="s">
        <v>139</v>
      </c>
      <c r="H20" t="s">
        <v>138</v>
      </c>
      <c r="I20" t="s">
        <v>288</v>
      </c>
    </row>
    <row r="21" spans="1:9" x14ac:dyDescent="0.2">
      <c r="A21" s="9" t="s">
        <v>22</v>
      </c>
      <c r="B21" s="9" t="s">
        <v>22</v>
      </c>
      <c r="C21" t="s">
        <v>1245</v>
      </c>
      <c r="D21" t="s">
        <v>1246</v>
      </c>
      <c r="E21">
        <v>1</v>
      </c>
      <c r="F21" s="1">
        <v>8.0000000000000002E-3</v>
      </c>
      <c r="G21" s="10" t="s">
        <v>1272</v>
      </c>
      <c r="H21" t="s">
        <v>143</v>
      </c>
      <c r="I21" t="s">
        <v>289</v>
      </c>
    </row>
    <row r="22" spans="1:9" x14ac:dyDescent="0.2">
      <c r="A22" s="9" t="s">
        <v>23</v>
      </c>
      <c r="B22" s="9" t="s">
        <v>23</v>
      </c>
      <c r="C22" t="s">
        <v>550</v>
      </c>
      <c r="D22" t="s">
        <v>551</v>
      </c>
      <c r="E22">
        <v>1</v>
      </c>
      <c r="F22" s="1">
        <v>8.0000000000000002E-3</v>
      </c>
      <c r="G22" s="10" t="s">
        <v>1273</v>
      </c>
      <c r="H22" t="s">
        <v>153</v>
      </c>
      <c r="I22" t="s">
        <v>290</v>
      </c>
    </row>
    <row r="23" spans="1:9" x14ac:dyDescent="0.2">
      <c r="A23" s="9" t="s">
        <v>24</v>
      </c>
      <c r="B23" s="9" t="s">
        <v>24</v>
      </c>
      <c r="C23" t="s">
        <v>1053</v>
      </c>
      <c r="D23" t="s">
        <v>1054</v>
      </c>
      <c r="E23">
        <v>1</v>
      </c>
      <c r="F23" s="1">
        <v>8.0000000000000002E-3</v>
      </c>
      <c r="G23" s="10" t="s">
        <v>1274</v>
      </c>
      <c r="H23" t="s">
        <v>158</v>
      </c>
      <c r="I23" t="s">
        <v>291</v>
      </c>
    </row>
    <row r="24" spans="1:9" x14ac:dyDescent="0.2">
      <c r="A24" s="9" t="s">
        <v>25</v>
      </c>
      <c r="B24" s="9" t="s">
        <v>25</v>
      </c>
      <c r="C24" t="s">
        <v>583</v>
      </c>
      <c r="D24" t="s">
        <v>584</v>
      </c>
      <c r="E24">
        <v>14</v>
      </c>
      <c r="F24" s="1">
        <v>0.114</v>
      </c>
      <c r="G24" s="10" t="s">
        <v>1275</v>
      </c>
      <c r="H24" t="s">
        <v>175</v>
      </c>
      <c r="I24" t="s">
        <v>292</v>
      </c>
    </row>
    <row r="25" spans="1:9" x14ac:dyDescent="0.2">
      <c r="A25" s="9" t="s">
        <v>26</v>
      </c>
      <c r="B25" s="9" t="s">
        <v>1187</v>
      </c>
      <c r="C25" t="s">
        <v>1185</v>
      </c>
      <c r="D25" t="s">
        <v>1186</v>
      </c>
      <c r="E25">
        <v>76</v>
      </c>
      <c r="F25" s="1">
        <v>0.61799999999999999</v>
      </c>
      <c r="G25" s="10" t="s">
        <v>1276</v>
      </c>
      <c r="H25" t="s">
        <v>254</v>
      </c>
      <c r="I25" t="s">
        <v>293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countries_stats</vt:lpstr>
      <vt:lpstr>countries_skintone</vt:lpstr>
      <vt:lpstr>latlong_countries</vt:lpstr>
      <vt:lpstr>Faces_URL</vt:lpstr>
      <vt:lpstr>Clean_Countries_DATA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Erwan Rahis</dc:creator>
  <cp:lastModifiedBy>Erwan Rahis</cp:lastModifiedBy>
  <dcterms:created xsi:type="dcterms:W3CDTF">2021-03-12T23:57:32Z</dcterms:created>
  <dcterms:modified xsi:type="dcterms:W3CDTF">2021-03-15T22:26:21Z</dcterms:modified>
</cp:coreProperties>
</file>